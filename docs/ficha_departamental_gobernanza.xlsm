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F3473D98-D0DF-4DA7-AE79-9AA8D715ADC4}" xr6:coauthVersionLast="47" xr6:coauthVersionMax="47" xr10:uidLastSave="{00000000-0000-0000-0000-000000000000}"/>
  <workbookProtection workbookAlgorithmName="SHA-512" workbookHashValue="TylTwmkUh01ofzPztvh7Wpt9A842O9NWpAhXkJMuu1Eot8l5IphCEs1PT1RYoPHpAswpy0NrraLb5abqV733ng==" workbookSaltValue="ci7egZriWdkTPBr3mxmeUA==" workbookSpinCount="100000" lockStructure="1"/>
  <bookViews>
    <workbookView xWindow="-108" yWindow="-16308" windowWidth="29016" windowHeight="15696" tabRatio="743" xr2:uid="{00000000-000D-0000-FFFF-FFFF00000000}"/>
  </bookViews>
  <sheets>
    <sheet name="Identificación" sheetId="13" r:id="rId1"/>
    <sheet name="Diagnóstico ecosistema" sheetId="14" r:id="rId2"/>
    <sheet name="Oportunidades de cambio" sheetId="15" r:id="rId3"/>
    <sheet name="Ejes PNMC" sheetId="16" r:id="rId4"/>
    <sheet name="Actores" sheetId="17" r:id="rId5"/>
    <sheet name="Indicadores" sheetId="18" r:id="rId6"/>
    <sheet name="Detalle Indicadores" sheetId="19" r:id="rId7"/>
    <sheet name="Variables" sheetId="20" state="veryHidden" r:id="rId8"/>
  </sheets>
  <definedNames>
    <definedName name="_xlcn.WorksheetConnection_IFCDFramework2018.xlsxActivities1" hidden="1">Activities</definedName>
    <definedName name="_xlcn.WorksheetConnection_IFCDFramework2018.xlsxObjectives1" hidden="1">Objectives</definedName>
    <definedName name="_xlcn.WorksheetConnection_IFCDFramework2018.xlsxOutputs1" hidden="1">Outputs</definedName>
    <definedName name="Acto_Comu">Variables!$BA$2:$BA$9</definedName>
    <definedName name="Acto_Inst_Ext">Variables!$AY$2:$AY$10</definedName>
    <definedName name="Acto_Inst_Int">Variables!$AX$2:$AX$8</definedName>
    <definedName name="Acto_Sect">Variables!$AZ$2:$AZ$14</definedName>
    <definedName name="Años">Variables!$BI$2:$BI$13</definedName>
    <definedName name="Ciu_Amazonas">Variables!$P$2:$P$12</definedName>
    <definedName name="Ciu_Antioquia">Variables!$Q$2:$Q$126</definedName>
    <definedName name="Ciu_Arauca">Variables!$R$2:$R$8</definedName>
    <definedName name="Ciu_Atlantico">Variables!$S$2:$S$24</definedName>
    <definedName name="Ciu_Bogota_D_C">Variables!$AV$2:$AV$2</definedName>
    <definedName name="Ciu_Bolivar">Variables!$T$2:$T$47</definedName>
    <definedName name="Ciu_Boyaca">Variables!$U$2:$U$123</definedName>
    <definedName name="Ciu_Caldas">Variables!$V$2:$V$27</definedName>
    <definedName name="Ciu_Caqueta">Variables!$W$2:$W$17</definedName>
    <definedName name="Ciu_Casanare">Variables!$X$2:$X$20</definedName>
    <definedName name="Ciu_Cauca">Variables!$Y$2:$Y$43</definedName>
    <definedName name="Ciu_Cesar">Variables!$Z$2:$Z$26</definedName>
    <definedName name="Ciu_Choco">Variables!$AA$2:$AA$32</definedName>
    <definedName name="Ciu_Cordoba">Variables!$AB$2:$AB$31</definedName>
    <definedName name="Ciu_Cundinamarca">Variables!$AC$2:$AC$118</definedName>
    <definedName name="Ciu_Guainia">Variables!$AD$2:$AD$10</definedName>
    <definedName name="Ciu_Guaviare">Variables!$AE$2:$AE$5</definedName>
    <definedName name="Ciu_Huila">Variables!$AF$2:$AF$38</definedName>
    <definedName name="Ciu_La_Guajira">Variables!$AG$2:$AG$16</definedName>
    <definedName name="Ciu_Magdalena">Variables!$AH$2:$AH$31</definedName>
    <definedName name="Ciu_Meta">Variables!$AI$2:$AI$30</definedName>
    <definedName name="Ciu_Narino">Variables!$AJ$2:$AJ$65</definedName>
    <definedName name="Ciu_Norte_de_Santander">Variables!$AK$2:$AK$41</definedName>
    <definedName name="Ciu_Putumayo">Variables!$AL$2:$AL$14</definedName>
    <definedName name="Ciu_Quindio">Variables!$AM$2:$AM$13</definedName>
    <definedName name="Ciu_Risaralda">Variables!$AN$2:$AN$15</definedName>
    <definedName name="Ciu_San_Andres_y_Providencia">Variables!$AO$2:$AO$3</definedName>
    <definedName name="Ciu_Santander">Variables!$AP$2:$AP$88</definedName>
    <definedName name="Ciu_Sucre">Variables!$AQ$2:$AQ$28</definedName>
    <definedName name="Ciu_Tolima">Variables!$AR$2:$AR$48</definedName>
    <definedName name="Ciu_Valle_del_Cauca">Variables!$AS$2:$AS$43</definedName>
    <definedName name="Ciu_Vaupes">Variables!$AT$2:$AT$7</definedName>
    <definedName name="Ciu_Vichada">Variables!$AU$2:$AU$5</definedName>
    <definedName name="Comp_Eje_1">Variables!$BD$2:$BD$3</definedName>
    <definedName name="Comp_Eje_2">Variables!$BE$2:$BE$7</definedName>
    <definedName name="Comp_Eje_3">Variables!$BF$2:$BF$3</definedName>
    <definedName name="ComponentePNMC">Variables!$G$2:$G$7</definedName>
    <definedName name="Cronograma">Variables!$I$2:$I$5</definedName>
    <definedName name="Departamentos">Variables!$A$2:$A$35</definedName>
    <definedName name="EjePNMC">Variables!$F$2:$F$5</definedName>
    <definedName name="Enfoques">Variables!$H$2:$H$6</definedName>
    <definedName name="EstadoComite">Variables!$C$2:$C$4</definedName>
    <definedName name="EstadoPlan">Variables!$D$2:$D$4</definedName>
    <definedName name="EstadoPropuesta">Variables!$J$2:$J$5</definedName>
    <definedName name="FuenteInfo">Variables!$M$2:$M$9</definedName>
    <definedName name="Meses">Variables!$N$2:$N$13</definedName>
    <definedName name="Multi_ActorEspec">Actores!$D$2:$D$51</definedName>
    <definedName name="Multi_DeptDet_1">'Detalle Indicadores'!$A$2</definedName>
    <definedName name="Multi_DeptDet_2">'Detalle Indicadores'!$A$7</definedName>
    <definedName name="Multi_DeptDet_3">'Detalle Indicadores'!$A$11</definedName>
    <definedName name="Multi_DeptInd">Indicadores!$A$3:$A$9</definedName>
    <definedName name="Multi_Enfoques">'Ejes PNMC'!$N$2:$N$51</definedName>
    <definedName name="Multi_Fuente">Identificación!$F$2:$F$51</definedName>
    <definedName name="Multi_MesesDet">'Detalle Indicadores'!$G$2:$G$14</definedName>
    <definedName name="Multi_NivelTerritorial">Actores!$E$2:$E$51</definedName>
    <definedName name="NivelAMB">Variables!$E$2:$E$4</definedName>
    <definedName name="NivelTerritorial">Variables!$L$2:$L$6</definedName>
    <definedName name="RegionOCAD">Variables!$B$2:$B$7</definedName>
    <definedName name="TipoAgente">Variables!$K$2:$K$5</definedName>
    <definedName name="TiposAgente">Variables!$AW$2:$AW$5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puts" name="Outputs" connection="WorksheetConnection_IFCDFramework2018.xlsx!Outputs"/>
          <x15:modelTable id="Objectives" name="Objectives" connection="WorksheetConnection_IFCDFramework2018.xlsx!Objectives"/>
          <x15:modelTable id="Activities" name="Activities" connection="WorksheetConnection_IFCDFramework2018.xlsx!Activities"/>
        </x15:modelTables>
        <x15:modelRelationships>
          <x15:modelRelationship fromTable="Outputs" fromColumn="Objective" toTable="Objectives" toColumn="Objective N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" i="18" l="1"/>
  <c r="AC4" i="18"/>
  <c r="AC5" i="18"/>
  <c r="AC6" i="18"/>
  <c r="H2" i="19" s="1"/>
  <c r="AC7" i="18"/>
  <c r="H7" i="19" s="1"/>
  <c r="AC8" i="18"/>
  <c r="H11" i="19" s="1"/>
  <c r="AC9" i="18"/>
  <c r="AD9" i="18" l="1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D3" i="18" l="1"/>
  <c r="AD8" i="18"/>
  <c r="AD5" i="18"/>
  <c r="AD4" i="18"/>
  <c r="AD6" i="18" l="1"/>
  <c r="AD7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FCDFramework2018.xlsx!Activities" type="102" refreshedVersion="6" minRefreshableVersion="5">
    <extLst>
      <ext xmlns:x15="http://schemas.microsoft.com/office/spreadsheetml/2010/11/main" uri="{DE250136-89BD-433C-8126-D09CA5730AF9}">
        <x15:connection id="Activities">
          <x15:rangePr sourceName="_xlcn.WorksheetConnection_IFCDFramework2018.xlsxActivities1"/>
        </x15:connection>
      </ext>
    </extLst>
  </connection>
  <connection id="3" xr16:uid="{00000000-0015-0000-FFFF-FFFF02000000}" name="WorksheetConnection_IFCDFramework2018.xlsx!Objectives" type="102" refreshedVersion="6" minRefreshableVersion="5">
    <extLst>
      <ext xmlns:x15="http://schemas.microsoft.com/office/spreadsheetml/2010/11/main" uri="{DE250136-89BD-433C-8126-D09CA5730AF9}">
        <x15:connection id="Objectives">
          <x15:rangePr sourceName="_xlcn.WorksheetConnection_IFCDFramework2018.xlsxObjectives1"/>
        </x15:connection>
      </ext>
    </extLst>
  </connection>
  <connection id="4" xr16:uid="{00000000-0015-0000-FFFF-FFFF03000000}" name="WorksheetConnection_IFCDFramework2018.xlsx!Outputs" type="102" refreshedVersion="6" minRefreshableVersion="5">
    <extLst>
      <ext xmlns:x15="http://schemas.microsoft.com/office/spreadsheetml/2010/11/main" uri="{DE250136-89BD-433C-8126-D09CA5730AF9}">
        <x15:connection id="Outputs">
          <x15:rangePr sourceName="_xlcn.WorksheetConnection_IFCDFramework2018.xlsxOutputs1"/>
        </x15:connection>
      </ext>
    </extLst>
  </connection>
</connections>
</file>

<file path=xl/sharedStrings.xml><?xml version="1.0" encoding="utf-8"?>
<sst xmlns="http://schemas.openxmlformats.org/spreadsheetml/2006/main" count="1531" uniqueCount="1365">
  <si>
    <t>Departamentos</t>
  </si>
  <si>
    <t>Amazonas</t>
  </si>
  <si>
    <t>Antioquia</t>
  </si>
  <si>
    <t>Arauca</t>
  </si>
  <si>
    <t>Atlántico</t>
  </si>
  <si>
    <t>Bolívar</t>
  </si>
  <si>
    <t>Boyacá</t>
  </si>
  <si>
    <t>Caldas</t>
  </si>
  <si>
    <t>Caquetá</t>
  </si>
  <si>
    <t>Casanare</t>
  </si>
  <si>
    <t>Cauca</t>
  </si>
  <si>
    <t>Cesar</t>
  </si>
  <si>
    <t>Chocó</t>
  </si>
  <si>
    <t>Córdoba</t>
  </si>
  <si>
    <t>Cundinamarca</t>
  </si>
  <si>
    <t>Guainía</t>
  </si>
  <si>
    <t>Guaviare</t>
  </si>
  <si>
    <t>Huila</t>
  </si>
  <si>
    <t>La Guajira</t>
  </si>
  <si>
    <t>Magdalena</t>
  </si>
  <si>
    <t>Meta</t>
  </si>
  <si>
    <t>Nariño</t>
  </si>
  <si>
    <t>Norte de Santander</t>
  </si>
  <si>
    <t>Putumayo</t>
  </si>
  <si>
    <t>Quindío</t>
  </si>
  <si>
    <t>Risaralda</t>
  </si>
  <si>
    <t>San Andrés y Providencia</t>
  </si>
  <si>
    <t>Santander</t>
  </si>
  <si>
    <t>Sucre</t>
  </si>
  <si>
    <t>Tolima</t>
  </si>
  <si>
    <t>Valle del Cauca</t>
  </si>
  <si>
    <t>Vaupés</t>
  </si>
  <si>
    <t>Vichada</t>
  </si>
  <si>
    <t>Bogotá D.C.</t>
  </si>
  <si>
    <t>RegionOCAD</t>
  </si>
  <si>
    <t>Caribe</t>
  </si>
  <si>
    <t>Centro Oriente</t>
  </si>
  <si>
    <t>Centro Sur</t>
  </si>
  <si>
    <t>Eje Cafetero</t>
  </si>
  <si>
    <t>Llanos</t>
  </si>
  <si>
    <t>Pacífico</t>
  </si>
  <si>
    <t>EstadoComite</t>
  </si>
  <si>
    <t>Creado</t>
  </si>
  <si>
    <t>Por crear</t>
  </si>
  <si>
    <t>Inactivo</t>
  </si>
  <si>
    <t>EstadoPlan</t>
  </si>
  <si>
    <t>En ejecución</t>
  </si>
  <si>
    <t>Por renovar</t>
  </si>
  <si>
    <t>No existe</t>
  </si>
  <si>
    <t>NivelAMB</t>
  </si>
  <si>
    <t>Alto</t>
  </si>
  <si>
    <t>Medio</t>
  </si>
  <si>
    <t>Bajo</t>
  </si>
  <si>
    <t>EjePNMC</t>
  </si>
  <si>
    <t>ComponentePNMC</t>
  </si>
  <si>
    <t>Componente 5 - Circulación y mercados</t>
  </si>
  <si>
    <t>Componente 6 - Infraestructura y dotación</t>
  </si>
  <si>
    <t>Enfoques</t>
  </si>
  <si>
    <t>Diferencial</t>
  </si>
  <si>
    <t>Biocultural</t>
  </si>
  <si>
    <t>Derechos territoriales</t>
  </si>
  <si>
    <t>Poblacional</t>
  </si>
  <si>
    <t>Interseccional</t>
  </si>
  <si>
    <t>Cronograma</t>
  </si>
  <si>
    <t>1 a 3 meses</t>
  </si>
  <si>
    <t>4 a 6 meses</t>
  </si>
  <si>
    <t>7 a 9 meses</t>
  </si>
  <si>
    <t>10 a 12 meses</t>
  </si>
  <si>
    <t>EstadoPropuesta</t>
  </si>
  <si>
    <t>Propuesta</t>
  </si>
  <si>
    <t>En gestión</t>
  </si>
  <si>
    <t>Implementación</t>
  </si>
  <si>
    <t>Consolidada</t>
  </si>
  <si>
    <t>TipoAgente</t>
  </si>
  <si>
    <t>Agente interno</t>
  </si>
  <si>
    <t>Agente externo</t>
  </si>
  <si>
    <t>Agente sectorial</t>
  </si>
  <si>
    <t>Agente comunitario / sociedad civil</t>
  </si>
  <si>
    <t>NivelTerritorial</t>
  </si>
  <si>
    <t>Local</t>
  </si>
  <si>
    <t>Municipal</t>
  </si>
  <si>
    <t>Departamental</t>
  </si>
  <si>
    <t>Nacional</t>
  </si>
  <si>
    <t>Internacional</t>
  </si>
  <si>
    <t>FuenteInfo</t>
  </si>
  <si>
    <t>Ente territorial</t>
  </si>
  <si>
    <t>Aliado estratégico</t>
  </si>
  <si>
    <t>Sector privado</t>
  </si>
  <si>
    <t>Sociedad civil</t>
  </si>
  <si>
    <t>Gobernación</t>
  </si>
  <si>
    <t>CODEMUS</t>
  </si>
  <si>
    <t>Mintrabajo</t>
  </si>
  <si>
    <t>Otro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</si>
  <si>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</si>
  <si>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</si>
  <si>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</si>
  <si>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</si>
  <si>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</si>
  <si>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</si>
  <si>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</si>
  <si>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</si>
  <si>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</si>
  <si>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</si>
  <si>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</si>
  <si>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</si>
  <si>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</si>
  <si>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Fecha de levantamiento</t>
  </si>
  <si>
    <t>Departamento</t>
  </si>
  <si>
    <t>Responsable del registro (Gestor)</t>
  </si>
  <si>
    <t>Región OCAD</t>
  </si>
  <si>
    <t>Observaciones</t>
  </si>
  <si>
    <t>Caracterización general del ecosistema musical</t>
  </si>
  <si>
    <t>Fortalezas identificadas</t>
  </si>
  <si>
    <t>Políticas priorizadas</t>
  </si>
  <si>
    <t>Debilidades identificadas</t>
  </si>
  <si>
    <t>Tensiones o conflictos</t>
  </si>
  <si>
    <t>CODEMUS – Comité Dptal de Música</t>
  </si>
  <si>
    <t>Plan Departamental de Cultura</t>
  </si>
  <si>
    <t>Consejo Departamental de Cultura</t>
  </si>
  <si>
    <t>Plan Departamental de Música</t>
  </si>
  <si>
    <t>Consejo Departamental de Música</t>
  </si>
  <si>
    <t>Mesa sectorial o territorial identificada</t>
  </si>
  <si>
    <t>Situación identificada</t>
  </si>
  <si>
    <t>Componente PNMC - Otras dependencias / Entidades</t>
  </si>
  <si>
    <t>Aliados y creyentes</t>
  </si>
  <si>
    <t>Territorio de influencia</t>
  </si>
  <si>
    <t>Nivel de impacto</t>
  </si>
  <si>
    <t>Descripción adicional</t>
  </si>
  <si>
    <t>Descripción hallazgo</t>
  </si>
  <si>
    <t>Eje PNMC</t>
  </si>
  <si>
    <t>Componente PNMC</t>
  </si>
  <si>
    <t>Acción Estratégica</t>
  </si>
  <si>
    <t>Política priorizada</t>
  </si>
  <si>
    <t>Armonización PNC</t>
  </si>
  <si>
    <t>Armonización PND</t>
  </si>
  <si>
    <t>Armonización Internacional</t>
  </si>
  <si>
    <t>Nivel prioridad</t>
  </si>
  <si>
    <t>Aliados / Responsables</t>
  </si>
  <si>
    <t>Fuentes de financiación</t>
  </si>
  <si>
    <t>Descripción</t>
  </si>
  <si>
    <t>Estado</t>
  </si>
  <si>
    <t>Nombre del agente (creyente)</t>
  </si>
  <si>
    <t>Rol en el ecosistema</t>
  </si>
  <si>
    <t>Número de contacto</t>
  </si>
  <si>
    <t>Correo electrónico</t>
  </si>
  <si>
    <t>Acción</t>
  </si>
  <si>
    <t>Valor actual (calc.)</t>
  </si>
  <si>
    <t>% Cumplimiento</t>
  </si>
  <si>
    <t>Fuente</t>
  </si>
  <si>
    <t>Año</t>
  </si>
  <si>
    <t>DeptKey</t>
  </si>
  <si>
    <t>Ciu_Amazonas</t>
  </si>
  <si>
    <t>Ciu_Antioquia</t>
  </si>
  <si>
    <t>Ciu_Arauca</t>
  </si>
  <si>
    <t>Ciu_Atlantico</t>
  </si>
  <si>
    <t>Ciu_Bolivar</t>
  </si>
  <si>
    <t>Ciu_Boyaca</t>
  </si>
  <si>
    <t>Ciu_Caldas</t>
  </si>
  <si>
    <t>Ciu_Caqueta</t>
  </si>
  <si>
    <t>Ciu_Casanare</t>
  </si>
  <si>
    <t>Ciu_Cauca</t>
  </si>
  <si>
    <t>Ciu_Cesar</t>
  </si>
  <si>
    <t>Ciu_Choco</t>
  </si>
  <si>
    <t>Ciu_Cordoba</t>
  </si>
  <si>
    <t>Ciu_Cundinamarca</t>
  </si>
  <si>
    <t>Ciu_Guainia</t>
  </si>
  <si>
    <t>Ciu_Guaviare</t>
  </si>
  <si>
    <t>Ciu_Huila</t>
  </si>
  <si>
    <t>Ciu_La_Guajira</t>
  </si>
  <si>
    <t>Ciu_Magdalena</t>
  </si>
  <si>
    <t>Ciu_Meta</t>
  </si>
  <si>
    <t>Ciu_Narino</t>
  </si>
  <si>
    <t>Ciu_Norte_de_Santander</t>
  </si>
  <si>
    <t>Ciu_Putumayo</t>
  </si>
  <si>
    <t>Ciu_Quindio</t>
  </si>
  <si>
    <t>Ciu_Risaralda</t>
  </si>
  <si>
    <t>Ciu_San_Andres_y_Providencia</t>
  </si>
  <si>
    <t>Ciu_Santander</t>
  </si>
  <si>
    <t>Ciu_Sucre</t>
  </si>
  <si>
    <t>Ciu_Tolima</t>
  </si>
  <si>
    <t>Ciu_Valle_del_Cauca</t>
  </si>
  <si>
    <t>Ciu_Vaupes</t>
  </si>
  <si>
    <t>Ciu_Vichada</t>
  </si>
  <si>
    <t>Ciu_Bogota_D_C</t>
  </si>
  <si>
    <t>Leticia</t>
  </si>
  <si>
    <t>Puerto Nariño</t>
  </si>
  <si>
    <t>El Encanto</t>
  </si>
  <si>
    <t>La Chorrera</t>
  </si>
  <si>
    <t>La Pedrera</t>
  </si>
  <si>
    <t>La Victoria</t>
  </si>
  <si>
    <t>Mirití-Paraná</t>
  </si>
  <si>
    <t>Puerto Alegría</t>
  </si>
  <si>
    <t>Puerto Arica</t>
  </si>
  <si>
    <t>Puerto Santander</t>
  </si>
  <si>
    <t>Tarapacá</t>
  </si>
  <si>
    <t>Medellín</t>
  </si>
  <si>
    <t>Abejorral</t>
  </si>
  <si>
    <t>Abriaquí</t>
  </si>
  <si>
    <t>Alejandría</t>
  </si>
  <si>
    <t>Amagá</t>
  </si>
  <si>
    <t>Amalfi</t>
  </si>
  <si>
    <t>Andes</t>
  </si>
  <si>
    <t>Angelópolis</t>
  </si>
  <si>
    <t>Angostura</t>
  </si>
  <si>
    <t>Anorí</t>
  </si>
  <si>
    <t>Anzá</t>
  </si>
  <si>
    <t>Apartadó</t>
  </si>
  <si>
    <t>Arboletes</t>
  </si>
  <si>
    <t>Argelia</t>
  </si>
  <si>
    <t>Armenia</t>
  </si>
  <si>
    <t>Barbosa</t>
  </si>
  <si>
    <t>Bello</t>
  </si>
  <si>
    <t>Belmira</t>
  </si>
  <si>
    <t>Betania</t>
  </si>
  <si>
    <t>Betulia</t>
  </si>
  <si>
    <t>Briceño</t>
  </si>
  <si>
    <t>Buriticá</t>
  </si>
  <si>
    <t>Cáceres</t>
  </si>
  <si>
    <t>Caicedo</t>
  </si>
  <si>
    <t>Campamento</t>
  </si>
  <si>
    <t>Cañasgordas</t>
  </si>
  <si>
    <t>Caracolí</t>
  </si>
  <si>
    <t>Caramanta</t>
  </si>
  <si>
    <t>Carepa</t>
  </si>
  <si>
    <t>Carolina del Príncipe</t>
  </si>
  <si>
    <t>Caucasia</t>
  </si>
  <si>
    <t>Chigorodó</t>
  </si>
  <si>
    <t>Cisneros</t>
  </si>
  <si>
    <t>Ciudad Bolívar</t>
  </si>
  <si>
    <t>Cocorná</t>
  </si>
  <si>
    <t>Concepción</t>
  </si>
  <si>
    <t>Concordia</t>
  </si>
  <si>
    <t>Copacabana</t>
  </si>
  <si>
    <t>Dabeiba</t>
  </si>
  <si>
    <t>Don Matías</t>
  </si>
  <si>
    <t>Ebéjico</t>
  </si>
  <si>
    <t>El Bagre</t>
  </si>
  <si>
    <t>El Carmen de Viboral</t>
  </si>
  <si>
    <t>El Peñol</t>
  </si>
  <si>
    <t>El Retiro</t>
  </si>
  <si>
    <t>El Santuario</t>
  </si>
  <si>
    <t>Entrerríos</t>
  </si>
  <si>
    <t>Envigado</t>
  </si>
  <si>
    <t>Fredonia</t>
  </si>
  <si>
    <t>Frontino</t>
  </si>
  <si>
    <t>Giraldo</t>
  </si>
  <si>
    <t>Girardota</t>
  </si>
  <si>
    <t>Gómez Plata</t>
  </si>
  <si>
    <t>Granada</t>
  </si>
  <si>
    <t>Guadalupe</t>
  </si>
  <si>
    <t>Guarne</t>
  </si>
  <si>
    <t>Guatapé</t>
  </si>
  <si>
    <t>Heliconia</t>
  </si>
  <si>
    <t>Hispania</t>
  </si>
  <si>
    <t>Itagüí</t>
  </si>
  <si>
    <t>Ituango</t>
  </si>
  <si>
    <t>Jardín</t>
  </si>
  <si>
    <t>Jericó</t>
  </si>
  <si>
    <t>La Ceja</t>
  </si>
  <si>
    <t>La Estrella</t>
  </si>
  <si>
    <t>La Pintada</t>
  </si>
  <si>
    <t>La Unión</t>
  </si>
  <si>
    <t>Liborina</t>
  </si>
  <si>
    <t>Maceo</t>
  </si>
  <si>
    <t>Marinilla</t>
  </si>
  <si>
    <t>Montebello</t>
  </si>
  <si>
    <t>Murindó</t>
  </si>
  <si>
    <t>Mutatá</t>
  </si>
  <si>
    <t>Nechí</t>
  </si>
  <si>
    <t>Necoclí</t>
  </si>
  <si>
    <t>Olaya</t>
  </si>
  <si>
    <t>Peque</t>
  </si>
  <si>
    <t>Pueblorrico</t>
  </si>
  <si>
    <t>Puerto Berrío</t>
  </si>
  <si>
    <t>Puerto Nare</t>
  </si>
  <si>
    <t>Puerto Triunfo</t>
  </si>
  <si>
    <t>Remedios</t>
  </si>
  <si>
    <t>Rionegro</t>
  </si>
  <si>
    <t>Sabanalarga</t>
  </si>
  <si>
    <t>Sabaneta</t>
  </si>
  <si>
    <t>Salgar</t>
  </si>
  <si>
    <t>San Andrés de Cuerquia</t>
  </si>
  <si>
    <t>San Carlos</t>
  </si>
  <si>
    <t>San Francisco</t>
  </si>
  <si>
    <t>San Jerónimo</t>
  </si>
  <si>
    <t>San José de la Montaña</t>
  </si>
  <si>
    <t>San Juan de Urabá</t>
  </si>
  <si>
    <t>San Luis</t>
  </si>
  <si>
    <t>San Pedro de los Milagros</t>
  </si>
  <si>
    <t>San Pedro de Urabá</t>
  </si>
  <si>
    <t>San Rafael</t>
  </si>
  <si>
    <t>San Roque</t>
  </si>
  <si>
    <t>San Vicente Ferrer</t>
  </si>
  <si>
    <t>Santa Bárbara</t>
  </si>
  <si>
    <t>Santa Fe de Antioquia</t>
  </si>
  <si>
    <t>Santa Rosa de Osos</t>
  </si>
  <si>
    <t>Santo Domingo</t>
  </si>
  <si>
    <t>Segovia</t>
  </si>
  <si>
    <t>Sonsón</t>
  </si>
  <si>
    <t>Sopetrán</t>
  </si>
  <si>
    <t>Támesis</t>
  </si>
  <si>
    <t>Tarazá</t>
  </si>
  <si>
    <t>Tarso</t>
  </si>
  <si>
    <t>Titiribí</t>
  </si>
  <si>
    <t>Toledo</t>
  </si>
  <si>
    <t>Turbo</t>
  </si>
  <si>
    <t>Uramita</t>
  </si>
  <si>
    <t>Urrao</t>
  </si>
  <si>
    <t>Valdivia</t>
  </si>
  <si>
    <t>Valparaíso</t>
  </si>
  <si>
    <t>Vegachí</t>
  </si>
  <si>
    <t>Venecia</t>
  </si>
  <si>
    <t>Vigía del Fuerte</t>
  </si>
  <si>
    <t>Yalí</t>
  </si>
  <si>
    <t>Yarumal</t>
  </si>
  <si>
    <t>Yolombó</t>
  </si>
  <si>
    <t>Yondó</t>
  </si>
  <si>
    <t>Zaragoza</t>
  </si>
  <si>
    <t>Arauquita</t>
  </si>
  <si>
    <t>Cravo Norte</t>
  </si>
  <si>
    <t>Fortul</t>
  </si>
  <si>
    <t>Puerto Rondón</t>
  </si>
  <si>
    <t>Saravena</t>
  </si>
  <si>
    <t>Tame</t>
  </si>
  <si>
    <t>Barranquilla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</si>
  <si>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</si>
  <si>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</si>
  <si>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</si>
  <si>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</si>
  <si>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</si>
  <si>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</si>
  <si>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</si>
  <si>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Manatí</t>
  </si>
  <si>
    <t>Palmar de Varela</t>
  </si>
  <si>
    <t>Piojó</t>
  </si>
  <si>
    <t>Polonuevo</t>
  </si>
  <si>
    <t>Ponedera</t>
  </si>
  <si>
    <t>Puerto Colombia</t>
  </si>
  <si>
    <t>Repelón</t>
  </si>
  <si>
    <t>Sabanagrande</t>
  </si>
  <si>
    <t>Santa Lucía</t>
  </si>
  <si>
    <t>Santo Tomás</t>
  </si>
  <si>
    <t>Soledad</t>
  </si>
  <si>
    <t>Suan</t>
  </si>
  <si>
    <t>Tubará</t>
  </si>
  <si>
    <t>Usiacurí</t>
  </si>
  <si>
    <t>Cartagena</t>
  </si>
  <si>
    <t>Achí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</si>
  <si>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</si>
  <si>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</si>
  <si>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</si>
  <si>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</si>
  <si>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</si>
  <si>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</si>
  <si>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</si>
  <si>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</si>
  <si>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Clemencia</t>
  </si>
  <si>
    <t>El Carmen de Bolívar</t>
  </si>
  <si>
    <t>El Guamo</t>
  </si>
  <si>
    <t>El Peñón</t>
  </si>
  <si>
    <t>Hatillo de Loba</t>
  </si>
  <si>
    <t>Magangué</t>
  </si>
  <si>
    <t>Mahates</t>
  </si>
  <si>
    <t>Margarita</t>
  </si>
  <si>
    <t>María la Baja</t>
  </si>
  <si>
    <t>Mompós</t>
  </si>
  <si>
    <t>Montecristo</t>
  </si>
  <si>
    <t>Morales</t>
  </si>
  <si>
    <t>Norosí</t>
  </si>
  <si>
    <t>Pinillos</t>
  </si>
  <si>
    <t>Regidor</t>
  </si>
  <si>
    <t>Río Viejo</t>
  </si>
  <si>
    <t>San Cristóbal</t>
  </si>
  <si>
    <t>San Estanislao</t>
  </si>
  <si>
    <t>San Fernando</t>
  </si>
  <si>
    <t>San Jacinto</t>
  </si>
  <si>
    <t>San Jacinto del Cauca</t>
  </si>
  <si>
    <t>San Juan Nepomuceno</t>
  </si>
  <si>
    <t>San Martín de Loba</t>
  </si>
  <si>
    <t>San Pablo</t>
  </si>
  <si>
    <t>Santa Catalina</t>
  </si>
  <si>
    <t>Santa Rosa</t>
  </si>
  <si>
    <t>Santa Rosa del Sur</t>
  </si>
  <si>
    <t>Simití</t>
  </si>
  <si>
    <t>Soplaviento</t>
  </si>
  <si>
    <t>Talaigua Nuevo</t>
  </si>
  <si>
    <t>Tiquisio</t>
  </si>
  <si>
    <t>Turbaco</t>
  </si>
  <si>
    <t>Turbaná</t>
  </si>
  <si>
    <t>Villanueva</t>
  </si>
  <si>
    <t>Zambrano</t>
  </si>
  <si>
    <t>Tunja</t>
  </si>
  <si>
    <t>Almeida</t>
  </si>
  <si>
    <t>Aquitania</t>
  </si>
  <si>
    <t>Arcabuco</t>
  </si>
  <si>
    <t>Belén</t>
  </si>
  <si>
    <t>Berbeo</t>
  </si>
  <si>
    <t>Betéitiva</t>
  </si>
  <si>
    <t>Boavita</t>
  </si>
  <si>
    <t>Buenavista</t>
  </si>
  <si>
    <t>Busbanzá</t>
  </si>
  <si>
    <t>Campohermoso</t>
  </si>
  <si>
    <t>Cerinza</t>
  </si>
  <si>
    <t>Chinavita</t>
  </si>
  <si>
    <t>Chiquinquirá</t>
  </si>
  <si>
    <t>Chíquiza</t>
  </si>
  <si>
    <t>Chiscas</t>
  </si>
  <si>
    <t>Chita</t>
  </si>
  <si>
    <t>Chitaraque</t>
  </si>
  <si>
    <t>Chivatá</t>
  </si>
  <si>
    <t>Chivor</t>
  </si>
  <si>
    <t>Ciénega</t>
  </si>
  <si>
    <t>Cómbita</t>
  </si>
  <si>
    <t>Coper</t>
  </si>
  <si>
    <t>Corrales</t>
  </si>
  <si>
    <t>Covarachía</t>
  </si>
  <si>
    <t>Cubará</t>
  </si>
  <si>
    <t>Cucaita</t>
  </si>
  <si>
    <t>Cuítiva</t>
  </si>
  <si>
    <t>Duitama</t>
  </si>
  <si>
    <t>El Cocuy</t>
  </si>
  <si>
    <t>El Espino</t>
  </si>
  <si>
    <t>Firavitoba</t>
  </si>
  <si>
    <t>Floresta</t>
  </si>
  <si>
    <t>Gachantivá</t>
  </si>
  <si>
    <t>Gámeza</t>
  </si>
  <si>
    <t>Garagoa</t>
  </si>
  <si>
    <t>Guacamayas</t>
  </si>
  <si>
    <t>Guateque</t>
  </si>
  <si>
    <t>Guayatá</t>
  </si>
  <si>
    <t>Güicán de la Sierra</t>
  </si>
  <si>
    <t>Iza</t>
  </si>
  <si>
    <t>Jenesano</t>
  </si>
  <si>
    <t>La Capilla</t>
  </si>
  <si>
    <t>La Uvita</t>
  </si>
  <si>
    <t>Labranzagrande</t>
  </si>
  <si>
    <t>Macanal</t>
  </si>
  <si>
    <t>Maripí</t>
  </si>
  <si>
    <t>Miraflores</t>
  </si>
  <si>
    <t>Mongua</t>
  </si>
  <si>
    <t>Monguí</t>
  </si>
  <si>
    <t>Moniquirá</t>
  </si>
  <si>
    <t>Motavita</t>
  </si>
  <si>
    <t>Muzo</t>
  </si>
  <si>
    <t>Nobsa</t>
  </si>
  <si>
    <t>Nuevo Colón</t>
  </si>
  <si>
    <t>Oicatá</t>
  </si>
  <si>
    <t>Otanche</t>
  </si>
  <si>
    <t>Pachavita</t>
  </si>
  <si>
    <t>Páez</t>
  </si>
  <si>
    <t>Paipa</t>
  </si>
  <si>
    <t>Pajarito</t>
  </si>
  <si>
    <t>Panqueba</t>
  </si>
  <si>
    <t>Pauna</t>
  </si>
  <si>
    <t>Paya</t>
  </si>
  <si>
    <t>Paz de Río</t>
  </si>
  <si>
    <t>Pesca</t>
  </si>
  <si>
    <t>Pisba</t>
  </si>
  <si>
    <t>Puerto Boyacá</t>
  </si>
  <si>
    <t>Quípama</t>
  </si>
  <si>
    <t>Ramiriquí</t>
  </si>
  <si>
    <t>Ráquira</t>
  </si>
  <si>
    <t>Rondón</t>
  </si>
  <si>
    <t>Saboyá</t>
  </si>
  <si>
    <t>Sáchica</t>
  </si>
  <si>
    <t>Samacá</t>
  </si>
  <si>
    <t>San Eduardo</t>
  </si>
  <si>
    <t>San José de Pare</t>
  </si>
  <si>
    <t>San Luis de Gaceno</t>
  </si>
  <si>
    <t>San Mateo</t>
  </si>
  <si>
    <t>San Miguel de Sema</t>
  </si>
  <si>
    <t>San Pablo de Borbur</t>
  </si>
  <si>
    <t>Santa María</t>
  </si>
  <si>
    <t>Santa Rosa de Viterbo</t>
  </si>
  <si>
    <t>Santa Sofía</t>
  </si>
  <si>
    <t>Santana</t>
  </si>
  <si>
    <t>Sativanorte</t>
  </si>
  <si>
    <t>Sativasur</t>
  </si>
  <si>
    <t>Siachoque</t>
  </si>
  <si>
    <t>Soatá</t>
  </si>
  <si>
    <t>Socha</t>
  </si>
  <si>
    <t>Socotá</t>
  </si>
  <si>
    <t>Sogamoso</t>
  </si>
  <si>
    <t>Somondoco</t>
  </si>
  <si>
    <t>Sora</t>
  </si>
  <si>
    <t>Soracá</t>
  </si>
  <si>
    <t>Sotaquirá</t>
  </si>
  <si>
    <t>Susacón</t>
  </si>
  <si>
    <t>Sutamarchán</t>
  </si>
  <si>
    <t>Sutatenza</t>
  </si>
  <si>
    <t>Tasco</t>
  </si>
  <si>
    <t>Tenza</t>
  </si>
  <si>
    <t>Tibaná</t>
  </si>
  <si>
    <t>Tibasosa</t>
  </si>
  <si>
    <t>Tinjacá</t>
  </si>
  <si>
    <t>Tipacoque</t>
  </si>
  <si>
    <t>Toca</t>
  </si>
  <si>
    <t>Togüí</t>
  </si>
  <si>
    <t>Tópaga</t>
  </si>
  <si>
    <t>Tota</t>
  </si>
  <si>
    <t>Tununguá</t>
  </si>
  <si>
    <t>Turmequé</t>
  </si>
  <si>
    <t>Tuta</t>
  </si>
  <si>
    <t>Tutazá</t>
  </si>
  <si>
    <t>Umbita</t>
  </si>
  <si>
    <t>Ventaquemada</t>
  </si>
  <si>
    <t>Viracachá</t>
  </si>
  <si>
    <t>Zetaquira</t>
  </si>
  <si>
    <t>Manizales</t>
  </si>
  <si>
    <t>Aguadas</t>
  </si>
  <si>
    <t>Anserma</t>
  </si>
  <si>
    <t>Aranzazu</t>
  </si>
  <si>
    <t>Belalcázar</t>
  </si>
  <si>
    <t>Chinchiná</t>
  </si>
  <si>
    <t>Filadelfia</t>
  </si>
  <si>
    <t>La Dorada</t>
  </si>
  <si>
    <t>La Merced</t>
  </si>
  <si>
    <t>Marmato</t>
  </si>
  <si>
    <t>Marquetalia</t>
  </si>
  <si>
    <t>Marulanda</t>
  </si>
  <si>
    <t>Neira</t>
  </si>
  <si>
    <t>Norcasia</t>
  </si>
  <si>
    <t>Pácora</t>
  </si>
  <si>
    <t>Palestina</t>
  </si>
  <si>
    <t>Pensilvania</t>
  </si>
  <si>
    <t>Riosucio</t>
  </si>
  <si>
    <t>Salamina</t>
  </si>
  <si>
    <t>Samaná</t>
  </si>
  <si>
    <t>San José</t>
  </si>
  <si>
    <t>Supía</t>
  </si>
  <si>
    <t>Victoria</t>
  </si>
  <si>
    <t>Villamaría</t>
  </si>
  <si>
    <t>Viterbo</t>
  </si>
  <si>
    <t>Florencia</t>
  </si>
  <si>
    <t>Albania</t>
  </si>
  <si>
    <t>Belén de los Andaquíes</t>
  </si>
  <si>
    <t>Cartagena del Chairá</t>
  </si>
  <si>
    <t>Curillo</t>
  </si>
  <si>
    <t>El Doncello</t>
  </si>
  <si>
    <t>El Paujil</t>
  </si>
  <si>
    <t>La Montañita</t>
  </si>
  <si>
    <t>Milán</t>
  </si>
  <si>
    <t>Morelia</t>
  </si>
  <si>
    <t>Puerto Rico</t>
  </si>
  <si>
    <t>San José del Fragua</t>
  </si>
  <si>
    <t>San Vicente del Caguán</t>
  </si>
  <si>
    <t>Solano</t>
  </si>
  <si>
    <t>Solita</t>
  </si>
  <si>
    <t>Yopal</t>
  </si>
  <si>
    <t>Aguazul</t>
  </si>
  <si>
    <t>Chámeza</t>
  </si>
  <si>
    <t>Hato Corozal</t>
  </si>
  <si>
    <t>La Salina</t>
  </si>
  <si>
    <t>Maní</t>
  </si>
  <si>
    <t>Monterrey</t>
  </si>
  <si>
    <t>Nunchía</t>
  </si>
  <si>
    <t>Orocué</t>
  </si>
  <si>
    <t>Paz de Ariporo</t>
  </si>
  <si>
    <t>Pore</t>
  </si>
  <si>
    <t>Recetor</t>
  </si>
  <si>
    <t>Sácama</t>
  </si>
  <si>
    <t>San Luis de Palenque</t>
  </si>
  <si>
    <t>Támara</t>
  </si>
  <si>
    <t>Tauramena</t>
  </si>
  <si>
    <t>Trinidad</t>
  </si>
  <si>
    <t>Popayán</t>
  </si>
  <si>
    <t>Almaguer</t>
  </si>
  <si>
    <t>Balboa</t>
  </si>
  <si>
    <t>Buenos Aires</t>
  </si>
  <si>
    <t>Cajibío</t>
  </si>
  <si>
    <t>Caldono</t>
  </si>
  <si>
    <t>Caloto</t>
  </si>
  <si>
    <t>Corinto</t>
  </si>
  <si>
    <t>El Tambo</t>
  </si>
  <si>
    <t>Guachené</t>
  </si>
  <si>
    <t>Guapi</t>
  </si>
  <si>
    <t>Inzá</t>
  </si>
  <si>
    <t>Jambaló</t>
  </si>
  <si>
    <t>La Sierra</t>
  </si>
  <si>
    <t>La Vega</t>
  </si>
  <si>
    <t>López de Micay</t>
  </si>
  <si>
    <t>Mercaderes</t>
  </si>
  <si>
    <t>Miranda</t>
  </si>
  <si>
    <t>Padilla</t>
  </si>
  <si>
    <t>Patía</t>
  </si>
  <si>
    <t>Piamonte</t>
  </si>
  <si>
    <t>Piendamó-Tunía</t>
  </si>
  <si>
    <t>Puerto Tejada</t>
  </si>
  <si>
    <t>Puracé</t>
  </si>
  <si>
    <t>Rosas</t>
  </si>
  <si>
    <t>San Sebastián</t>
  </si>
  <si>
    <t>Santander de Quilichao</t>
  </si>
  <si>
    <t>Silvia</t>
  </si>
  <si>
    <t>Sotará</t>
  </si>
  <si>
    <t>Suárez</t>
  </si>
  <si>
    <t>Timbío</t>
  </si>
  <si>
    <t>Timbiquí</t>
  </si>
  <si>
    <t>Toribío</t>
  </si>
  <si>
    <t>Totoró</t>
  </si>
  <si>
    <t>Villa Rica</t>
  </si>
  <si>
    <t>Valledupar</t>
  </si>
  <si>
    <t>Aguachica</t>
  </si>
  <si>
    <t>Agustín Codazzi</t>
  </si>
  <si>
    <t>Astrea</t>
  </si>
  <si>
    <t>Becerril</t>
  </si>
  <si>
    <t>Bosconia</t>
  </si>
  <si>
    <t>Chimichagua</t>
  </si>
  <si>
    <t>Chiriguaná</t>
  </si>
  <si>
    <t>Curumaní</t>
  </si>
  <si>
    <t>El Copey</t>
  </si>
  <si>
    <t>El Paso</t>
  </si>
  <si>
    <t>Gamarra</t>
  </si>
  <si>
    <t>González</t>
  </si>
  <si>
    <t>La Gloria</t>
  </si>
  <si>
    <t>La Jagua de Ibirico</t>
  </si>
  <si>
    <t>La Paz</t>
  </si>
  <si>
    <t>Manaure Balcón del Cesar</t>
  </si>
  <si>
    <t>Pailitas</t>
  </si>
  <si>
    <t>Pelaya</t>
  </si>
  <si>
    <t>Pueblo Bello</t>
  </si>
  <si>
    <t>Río de Oro</t>
  </si>
  <si>
    <t>San Alberto</t>
  </si>
  <si>
    <t>San Diego</t>
  </si>
  <si>
    <t>San Martín</t>
  </si>
  <si>
    <t>Tamalameque</t>
  </si>
  <si>
    <t>Quibdó</t>
  </si>
  <si>
    <t>Acandí</t>
  </si>
  <si>
    <t>Alto Baudó</t>
  </si>
  <si>
    <t>Atrato</t>
  </si>
  <si>
    <t>Bagadó</t>
  </si>
  <si>
    <t>Bahía Solano</t>
  </si>
  <si>
    <t>Bajo Baudó</t>
  </si>
  <si>
    <t>Belén de Bajirá</t>
  </si>
  <si>
    <t>Bojayá</t>
  </si>
  <si>
    <t>Cantón de San Pablo</t>
  </si>
  <si>
    <t>Carmen del Darién</t>
  </si>
  <si>
    <t>Cértegui</t>
  </si>
  <si>
    <t>Condoto</t>
  </si>
  <si>
    <t>El Carmen de Atrato</t>
  </si>
  <si>
    <t>El Litoral del San Juan</t>
  </si>
  <si>
    <t>Istmina</t>
  </si>
  <si>
    <t>Juradó</t>
  </si>
  <si>
    <t>Lloró</t>
  </si>
  <si>
    <t>Medio Atrato</t>
  </si>
  <si>
    <t>Medio Baudó</t>
  </si>
  <si>
    <t>Medio San Juan</t>
  </si>
  <si>
    <t>Nóvita</t>
  </si>
  <si>
    <t>Nuquí</t>
  </si>
  <si>
    <t>Río Iró</t>
  </si>
  <si>
    <t>Río Quito</t>
  </si>
  <si>
    <t>San José del Palmar</t>
  </si>
  <si>
    <t>Sipí</t>
  </si>
  <si>
    <t>Tadó</t>
  </si>
  <si>
    <t>Unguía</t>
  </si>
  <si>
    <t>Unión Panamericana</t>
  </si>
  <si>
    <t>Montería</t>
  </si>
  <si>
    <t>Ayapel</t>
  </si>
  <si>
    <t>Canalete</t>
  </si>
  <si>
    <t>Cereté</t>
  </si>
  <si>
    <t>Chimá</t>
  </si>
  <si>
    <t>Chinú</t>
  </si>
  <si>
    <t>Ciénaga de Oro</t>
  </si>
  <si>
    <t>Cotorra</t>
  </si>
  <si>
    <t>La Apartada</t>
  </si>
  <si>
    <t>Lorica</t>
  </si>
  <si>
    <t>Los Córdobas</t>
  </si>
  <si>
    <t>Momil</t>
  </si>
  <si>
    <t>Montelíbano</t>
  </si>
  <si>
    <t>Moñitos</t>
  </si>
  <si>
    <t>Planeta Rica</t>
  </si>
  <si>
    <t>Pueblo Nuevo</t>
  </si>
  <si>
    <t>Puerto Escondido</t>
  </si>
  <si>
    <t>Puerto Libertador</t>
  </si>
  <si>
    <t>Purísima de la Concepción</t>
  </si>
  <si>
    <t>Sahagún</t>
  </si>
  <si>
    <t>San Andrés de Sotavento</t>
  </si>
  <si>
    <t>San Antero</t>
  </si>
  <si>
    <t>San Bernardo del Viento</t>
  </si>
  <si>
    <t>San José de Uré</t>
  </si>
  <si>
    <t>San Pelayo</t>
  </si>
  <si>
    <t>Tierralta</t>
  </si>
  <si>
    <t>Tuchín</t>
  </si>
  <si>
    <t>Valencia</t>
  </si>
  <si>
    <t>Agua de Dios</t>
  </si>
  <si>
    <t>Albán</t>
  </si>
  <si>
    <t>Anapoima</t>
  </si>
  <si>
    <t>Anolaima</t>
  </si>
  <si>
    <t>Apulo</t>
  </si>
  <si>
    <t>Arbeláez</t>
  </si>
  <si>
    <t>Beltrán</t>
  </si>
  <si>
    <t>Bituima</t>
  </si>
  <si>
    <t>Bojacá</t>
  </si>
  <si>
    <t>Cabrera</t>
  </si>
  <si>
    <t>Cachipay</t>
  </si>
  <si>
    <t>Cajicá</t>
  </si>
  <si>
    <t>Caparrapí</t>
  </si>
  <si>
    <t>Cáqueza</t>
  </si>
  <si>
    <t>Carmen de Carupa</t>
  </si>
  <si>
    <t>Chaguaní</t>
  </si>
  <si>
    <t>Chía</t>
  </si>
  <si>
    <t>Chipaque</t>
  </si>
  <si>
    <t>Choachí</t>
  </si>
  <si>
    <t>Chocontá</t>
  </si>
  <si>
    <t>Cogua</t>
  </si>
  <si>
    <t>Cota</t>
  </si>
  <si>
    <t>Cucunubá</t>
  </si>
  <si>
    <t>El Colegio</t>
  </si>
  <si>
    <t>El Rosal</t>
  </si>
  <si>
    <t>Facatativá</t>
  </si>
  <si>
    <t>Fómeque</t>
  </si>
  <si>
    <t>Fosca</t>
  </si>
  <si>
    <t>Funza</t>
  </si>
  <si>
    <t>Fúquene</t>
  </si>
  <si>
    <t>Fusagasugá</t>
  </si>
  <si>
    <t>Gachalá</t>
  </si>
  <si>
    <t>Gachancipá</t>
  </si>
  <si>
    <t>Gachetá</t>
  </si>
  <si>
    <t>Gama</t>
  </si>
  <si>
    <t>Girardot</t>
  </si>
  <si>
    <t>Guachetá</t>
  </si>
  <si>
    <t>Guaduas</t>
  </si>
  <si>
    <t>Guasca</t>
  </si>
  <si>
    <t>Guataquí</t>
  </si>
  <si>
    <t>Guatavita</t>
  </si>
  <si>
    <t>Guayabal de Síquima</t>
  </si>
  <si>
    <t>Guayabetal</t>
  </si>
  <si>
    <t>Gutiérrez</t>
  </si>
  <si>
    <t>Jerusalén</t>
  </si>
  <si>
    <t>Junín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</si>
  <si>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</si>
  <si>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</si>
  <si>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</si>
  <si>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</si>
  <si>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</si>
  <si>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</si>
  <si>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</si>
  <si>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</si>
  <si>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</si>
  <si>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</si>
  <si>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Nemocón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</si>
  <si>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</si>
  <si>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</si>
  <si>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</si>
  <si>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</si>
  <si>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</si>
  <si>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</si>
  <si>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</si>
  <si>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</si>
  <si>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</si>
  <si>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Pulí</t>
  </si>
  <si>
    <t>Quebradanegra</t>
  </si>
  <si>
    <t>Quetame</t>
  </si>
  <si>
    <t>Quipile</t>
  </si>
  <si>
    <t>Ricaurte</t>
  </si>
  <si>
    <t>San Antonio del Tequendama</t>
  </si>
  <si>
    <t>San Bernardo</t>
  </si>
  <si>
    <t>San Cayetano</t>
  </si>
  <si>
    <t>San Juan de Rioseco</t>
  </si>
  <si>
    <t>Sasaima</t>
  </si>
  <si>
    <t>Sesquilé</t>
  </si>
  <si>
    <t>Sibaté</t>
  </si>
  <si>
    <t>Silvania</t>
  </si>
  <si>
    <t>Simijaca</t>
  </si>
  <si>
    <t>Soacha</t>
  </si>
  <si>
    <t>Sopó</t>
  </si>
  <si>
    <t>Subachoque</t>
  </si>
  <si>
    <t>Suesca</t>
  </si>
  <si>
    <t>Supatá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</si>
  <si>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</si>
  <si>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</si>
  <si>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</si>
  <si>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</si>
  <si>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</si>
  <si>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</si>
  <si>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</si>
  <si>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</si>
  <si>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</si>
  <si>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Tocancipá</t>
  </si>
  <si>
    <t>Topaipí</t>
  </si>
  <si>
    <t>Ubalá</t>
  </si>
  <si>
    <t>Ubaque</t>
  </si>
  <si>
    <t>Ubaté</t>
  </si>
  <si>
    <t>Une</t>
  </si>
  <si>
    <t>Útica</t>
  </si>
  <si>
    <t>Vergara</t>
  </si>
  <si>
    <t>Vianí</t>
  </si>
  <si>
    <t>Villa de San Diego de Ubaté</t>
  </si>
  <si>
    <t>Villagómez</t>
  </si>
  <si>
    <t>Villapinzón</t>
  </si>
  <si>
    <t>Villeta</t>
  </si>
  <si>
    <t>Viotá</t>
  </si>
  <si>
    <t>Yacopí</t>
  </si>
  <si>
    <t>Zipacón</t>
  </si>
  <si>
    <t>Zipaquirá</t>
  </si>
  <si>
    <t>Inírida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</si>
  <si>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</si>
  <si>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</si>
  <si>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</si>
  <si>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</si>
  <si>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</si>
  <si>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</si>
  <si>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</si>
  <si>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José del Guaviare</t>
  </si>
  <si>
    <t>El Retorno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</si>
  <si>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</si>
  <si>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</si>
  <si>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</si>
  <si>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</si>
  <si>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</si>
  <si>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</si>
  <si>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</si>
  <si>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</si>
  <si>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</si>
  <si>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Elías</t>
  </si>
  <si>
    <t>Garzón</t>
  </si>
  <si>
    <t>Gigante</t>
  </si>
  <si>
    <t>Hobo</t>
  </si>
  <si>
    <t>Íquira</t>
  </si>
  <si>
    <t>Isnos</t>
  </si>
  <si>
    <t>La Argentina</t>
  </si>
  <si>
    <t>La Plata</t>
  </si>
  <si>
    <t>Nátaga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</si>
  <si>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</si>
  <si>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</si>
  <si>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</si>
  <si>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</si>
  <si>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</si>
  <si>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</si>
  <si>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</si>
  <si>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Agustín</t>
  </si>
  <si>
    <t>Suaza</t>
  </si>
  <si>
    <t>Tarqui</t>
  </si>
  <si>
    <t>Tello</t>
  </si>
  <si>
    <t>Teruel</t>
  </si>
  <si>
    <t>Tesalia</t>
  </si>
  <si>
    <t>Timaná</t>
  </si>
  <si>
    <t>Villavieja</t>
  </si>
  <si>
    <t>Yaguará</t>
  </si>
  <si>
    <t>Riohacha</t>
  </si>
  <si>
    <t>Barrancas</t>
  </si>
  <si>
    <t>Dibulla</t>
  </si>
  <si>
    <t>Distracción</t>
  </si>
  <si>
    <t>El Molino</t>
  </si>
  <si>
    <t>Fonseca</t>
  </si>
  <si>
    <t>Hatonuevo</t>
  </si>
  <si>
    <t>La Jagua del Pilar</t>
  </si>
  <si>
    <t>Maicao</t>
  </si>
  <si>
    <t>Manaure</t>
  </si>
  <si>
    <t>San Juan del Cesar</t>
  </si>
  <si>
    <t>Uribia</t>
  </si>
  <si>
    <t>Urumita</t>
  </si>
  <si>
    <t>Santa Marta</t>
  </si>
  <si>
    <t>Algarrobo</t>
  </si>
  <si>
    <t>Aracataca</t>
  </si>
  <si>
    <t>Ariguaní</t>
  </si>
  <si>
    <t>Cerro de San Antonio</t>
  </si>
  <si>
    <t>Chivolo</t>
  </si>
  <si>
    <t>Ciénaga</t>
  </si>
  <si>
    <t>El Banco</t>
  </si>
  <si>
    <t>El Piñón</t>
  </si>
  <si>
    <t>El Retén</t>
  </si>
  <si>
    <t>Fundación</t>
  </si>
  <si>
    <t>Guamal</t>
  </si>
  <si>
    <t>Nueva Granada</t>
  </si>
  <si>
    <t>Pedraza</t>
  </si>
  <si>
    <t>Pijiño del Carmen</t>
  </si>
  <si>
    <t>Pivijay</t>
  </si>
  <si>
    <t>Plato</t>
  </si>
  <si>
    <t>Pueblo Viejo</t>
  </si>
  <si>
    <t>Remolino</t>
  </si>
  <si>
    <t>Sabanas de San Ángel</t>
  </si>
  <si>
    <t>San Sebastián de Buenavista</t>
  </si>
  <si>
    <t>San Zenón</t>
  </si>
  <si>
    <t>Santa Ana</t>
  </si>
  <si>
    <t>Santa Bárbara de Pinto</t>
  </si>
  <si>
    <t>Sitionuevo</t>
  </si>
  <si>
    <t>Tenerife</t>
  </si>
  <si>
    <t>Zapayán</t>
  </si>
  <si>
    <t>Zona Bananera</t>
  </si>
  <si>
    <t>Villavicencio</t>
  </si>
  <si>
    <t>Acacías</t>
  </si>
  <si>
    <t>Barranca de Upía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</si>
  <si>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</si>
  <si>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</si>
  <si>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</si>
  <si>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</si>
  <si>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</si>
  <si>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</si>
  <si>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</si>
  <si>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</si>
  <si>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La Macarena</t>
  </si>
  <si>
    <t>La Uribe</t>
  </si>
  <si>
    <t>Lejanías</t>
  </si>
  <si>
    <t>Mapiripán</t>
  </si>
  <si>
    <t>Mesetas</t>
  </si>
  <si>
    <t>Puerto Concordia</t>
  </si>
  <si>
    <t>Puerto Gaitán</t>
  </si>
  <si>
    <t>Puerto Lleras</t>
  </si>
  <si>
    <t>Puerto López</t>
  </si>
  <si>
    <t>Restrepo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</si>
  <si>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</si>
  <si>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</si>
  <si>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</si>
  <si>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</si>
  <si>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</si>
  <si>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</si>
  <si>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</si>
  <si>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</si>
  <si>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</si>
  <si>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</si>
  <si>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Chachagüí</t>
  </si>
  <si>
    <t>Colón</t>
  </si>
  <si>
    <t>Consacá</t>
  </si>
  <si>
    <t>Contadero</t>
  </si>
  <si>
    <t>Cuaspud</t>
  </si>
  <si>
    <t>Cumbal</t>
  </si>
  <si>
    <t>Cumbitara</t>
  </si>
  <si>
    <t>El Charco</t>
  </si>
  <si>
    <t>El Rosario</t>
  </si>
  <si>
    <t>El Tablón de Gómez</t>
  </si>
  <si>
    <t>Francisco Pizarro</t>
  </si>
  <si>
    <t>Funes</t>
  </si>
  <si>
    <t>Guachucal</t>
  </si>
  <si>
    <t>Guaitarilla</t>
  </si>
  <si>
    <t>Gualmatán</t>
  </si>
  <si>
    <t>Iles</t>
  </si>
  <si>
    <t>Imués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</si>
  <si>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</si>
  <si>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</si>
  <si>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</si>
  <si>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</si>
  <si>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</si>
  <si>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</si>
  <si>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</si>
  <si>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</si>
  <si>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Magüí</t>
  </si>
  <si>
    <t>Mallama</t>
  </si>
  <si>
    <t>Olaya Herrera</t>
  </si>
  <si>
    <t>Ospina</t>
  </si>
  <si>
    <t>Policarpa</t>
  </si>
  <si>
    <t>Potosí</t>
  </si>
  <si>
    <t>Providencia</t>
  </si>
  <si>
    <t>Puerres</t>
  </si>
  <si>
    <t>Pupiales</t>
  </si>
  <si>
    <t>Roberto Payán</t>
  </si>
  <si>
    <t>Samaniego</t>
  </si>
  <si>
    <t>San Andrés de Tumaco</t>
  </si>
  <si>
    <t>San Lorenzo</t>
  </si>
  <si>
    <t>San Pedro de Cartago</t>
  </si>
  <si>
    <t>Sandoná</t>
  </si>
  <si>
    <t>Santacruz</t>
  </si>
  <si>
    <t>Sapuyes</t>
  </si>
  <si>
    <t>Taminango</t>
  </si>
  <si>
    <t>Tangua</t>
  </si>
  <si>
    <t>Túquerres</t>
  </si>
  <si>
    <t>Yacuanquer</t>
  </si>
  <si>
    <t>Cúcuta</t>
  </si>
  <si>
    <t>Ábrego</t>
  </si>
  <si>
    <t>Arboledas</t>
  </si>
  <si>
    <t>Bochalema</t>
  </si>
  <si>
    <t>Bucarasica</t>
  </si>
  <si>
    <t>Cáchira</t>
  </si>
  <si>
    <t>Cácota</t>
  </si>
  <si>
    <t>Chinácota</t>
  </si>
  <si>
    <t>Chitagá</t>
  </si>
  <si>
    <t>Convención</t>
  </si>
  <si>
    <t>Cucutilla</t>
  </si>
  <si>
    <t>Durania</t>
  </si>
  <si>
    <t>El Carmen</t>
  </si>
  <si>
    <t>El Tarra</t>
  </si>
  <si>
    <t>El Zulia</t>
  </si>
  <si>
    <t>Gramalote</t>
  </si>
  <si>
    <t>Hacarí</t>
  </si>
  <si>
    <t>Herrán</t>
  </si>
  <si>
    <t>La Esperanza</t>
  </si>
  <si>
    <t>La Playa</t>
  </si>
  <si>
    <t>Labateca</t>
  </si>
  <si>
    <t>Los Patios</t>
  </si>
  <si>
    <t>Lourdes</t>
  </si>
  <si>
    <t>Mutiscua</t>
  </si>
  <si>
    <t>Ocaña</t>
  </si>
  <si>
    <t>Pamplona</t>
  </si>
  <si>
    <t>Pamplonita</t>
  </si>
  <si>
    <t>Ragonvalia</t>
  </si>
  <si>
    <t>Salazar</t>
  </si>
  <si>
    <t>San Calixto</t>
  </si>
  <si>
    <t>Santiago</t>
  </si>
  <si>
    <t>Sardinata</t>
  </si>
  <si>
    <t>Silos</t>
  </si>
  <si>
    <t>Teorama</t>
  </si>
  <si>
    <t>Tibú</t>
  </si>
  <si>
    <t>Villa Caro</t>
  </si>
  <si>
    <t>Villa del Rosario</t>
  </si>
  <si>
    <t>Mocoa</t>
  </si>
  <si>
    <t>Orito</t>
  </si>
  <si>
    <t>Puerto Asís</t>
  </si>
  <si>
    <t>Puerto Caicedo</t>
  </si>
  <si>
    <t>Puerto Guzmán</t>
  </si>
  <si>
    <t>Puerto Leguízamo</t>
  </si>
  <si>
    <t>San Miguel</t>
  </si>
  <si>
    <t>Sibundoy</t>
  </si>
  <si>
    <t>Valle del Guamuez</t>
  </si>
  <si>
    <t>Villagarzón</t>
  </si>
  <si>
    <t>Calarcá</t>
  </si>
  <si>
    <t>Circasia</t>
  </si>
  <si>
    <t>Filandia</t>
  </si>
  <si>
    <t>Génova</t>
  </si>
  <si>
    <t>La Tebaida</t>
  </si>
  <si>
    <t>Montenegro</t>
  </si>
  <si>
    <t>Pijao</t>
  </si>
  <si>
    <t>Quimbaya</t>
  </si>
  <si>
    <t>Salento</t>
  </si>
  <si>
    <t>Pereira</t>
  </si>
  <si>
    <t>Apía</t>
  </si>
  <si>
    <t>Belén de Umbría</t>
  </si>
  <si>
    <t>Dosquebradas</t>
  </si>
  <si>
    <t>Guática</t>
  </si>
  <si>
    <t>La Celia</t>
  </si>
  <si>
    <t>La Virginia</t>
  </si>
  <si>
    <t>Marsella</t>
  </si>
  <si>
    <t>Mistrató</t>
  </si>
  <si>
    <t>Pueblo Rico</t>
  </si>
  <si>
    <t>Quinchía</t>
  </si>
  <si>
    <t>Santa Rosa de Cabal</t>
  </si>
  <si>
    <t>Santuario</t>
  </si>
  <si>
    <t>San Andrés</t>
  </si>
  <si>
    <t>Bucaramanga</t>
  </si>
  <si>
    <t>Aguada</t>
  </si>
  <si>
    <t>Aratoca</t>
  </si>
  <si>
    <t>Barichara</t>
  </si>
  <si>
    <t>Barrancabermeja</t>
  </si>
  <si>
    <t>California</t>
  </si>
  <si>
    <t>Capitanejo</t>
  </si>
  <si>
    <t>Carcasí</t>
  </si>
  <si>
    <t>Cepitá</t>
  </si>
  <si>
    <t>Cerrito</t>
  </si>
  <si>
    <t>Charalá</t>
  </si>
  <si>
    <t>Charta</t>
  </si>
  <si>
    <t>Chima</t>
  </si>
  <si>
    <t>Chipatá</t>
  </si>
  <si>
    <t>Cimitarra</t>
  </si>
  <si>
    <t>Confines</t>
  </si>
  <si>
    <t>Contratación</t>
  </si>
  <si>
    <t>Coromoro</t>
  </si>
  <si>
    <t>Curití</t>
  </si>
  <si>
    <t>El Carmen de Chucurí</t>
  </si>
  <si>
    <t>El Guacamayo</t>
  </si>
  <si>
    <t>El Playón</t>
  </si>
  <si>
    <t>Encino</t>
  </si>
  <si>
    <t>Enciso</t>
  </si>
  <si>
    <t>Florián</t>
  </si>
  <si>
    <t>Floridablanca</t>
  </si>
  <si>
    <t>Galán</t>
  </si>
  <si>
    <t>Gámbita</t>
  </si>
  <si>
    <t>Girón</t>
  </si>
  <si>
    <t>Guaca</t>
  </si>
  <si>
    <t>Guapotá</t>
  </si>
  <si>
    <t>Guavatá</t>
  </si>
  <si>
    <t>Güepsa</t>
  </si>
  <si>
    <t>Hato</t>
  </si>
  <si>
    <t>Jesús María</t>
  </si>
  <si>
    <t>Jordán</t>
  </si>
  <si>
    <t>La Belleza</t>
  </si>
  <si>
    <t>Landázuri</t>
  </si>
  <si>
    <t>Lebrija</t>
  </si>
  <si>
    <t>Los Santos</t>
  </si>
  <si>
    <t>Macaravita</t>
  </si>
  <si>
    <t>Málaga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</si>
  <si>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</si>
  <si>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</si>
  <si>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</si>
  <si>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</si>
  <si>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</si>
  <si>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</si>
  <si>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</si>
  <si>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</si>
  <si>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Páramo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</si>
  <si>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</si>
  <si>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</si>
  <si>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</si>
  <si>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</si>
  <si>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</si>
  <si>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</si>
  <si>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</si>
  <si>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</si>
  <si>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Joaquín</t>
  </si>
  <si>
    <t>San José de Miranda</t>
  </si>
  <si>
    <t>San Vicente de Chucurí</t>
  </si>
  <si>
    <t>Santa Helena del Opón</t>
  </si>
  <si>
    <t>Simacota</t>
  </si>
  <si>
    <t>Socorro</t>
  </si>
  <si>
    <t>Suaita</t>
  </si>
  <si>
    <t>Suratá</t>
  </si>
  <si>
    <t>Tona</t>
  </si>
  <si>
    <t>Valle de San José</t>
  </si>
  <si>
    <t>Vélez</t>
  </si>
  <si>
    <t>Vetas</t>
  </si>
  <si>
    <t>Zapatoca</t>
  </si>
  <si>
    <t>Sincelejo</t>
  </si>
  <si>
    <t>Caimito</t>
  </si>
  <si>
    <t>Chalán</t>
  </si>
  <si>
    <t>Coloso</t>
  </si>
  <si>
    <t>Corozal</t>
  </si>
  <si>
    <t>Coveñas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</si>
  <si>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</si>
  <si>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</si>
  <si>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</si>
  <si>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</si>
  <si>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</si>
  <si>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</si>
  <si>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</si>
  <si>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</si>
  <si>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Sampués</t>
  </si>
  <si>
    <t>San Antonio de Palmito</t>
  </si>
  <si>
    <t>San Benito Abad</t>
  </si>
  <si>
    <t>San Juan de Betulia</t>
  </si>
  <si>
    <t>San Marcos</t>
  </si>
  <si>
    <t>San Onofre</t>
  </si>
  <si>
    <t>San Pedro</t>
  </si>
  <si>
    <t>Santiago de Tolú</t>
  </si>
  <si>
    <t>Sincé</t>
  </si>
  <si>
    <t>Tolú Viejo</t>
  </si>
  <si>
    <t>Ibagué</t>
  </si>
  <si>
    <t>Alpujarra</t>
  </si>
  <si>
    <t>Alvarado</t>
  </si>
  <si>
    <t>Ambalema</t>
  </si>
  <si>
    <t>Anzoátegui</t>
  </si>
  <si>
    <t>Armero</t>
  </si>
  <si>
    <t>Ataco</t>
  </si>
  <si>
    <t>Cajamarca</t>
  </si>
  <si>
    <t>Carmen de Apicalá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</si>
  <si>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</si>
  <si>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</si>
  <si>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</si>
  <si>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</si>
  <si>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</si>
  <si>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</si>
  <si>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</si>
  <si>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</si>
  <si>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</si>
  <si>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</si>
  <si>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</si>
  <si>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</si>
  <si>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</si>
  <si>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</si>
  <si>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Lérida</t>
  </si>
  <si>
    <t>Líbano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</si>
  <si>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</si>
  <si>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</si>
  <si>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</si>
  <si>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</si>
  <si>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</si>
  <si>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</si>
  <si>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</si>
  <si>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</si>
  <si>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</si>
  <si>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Purificación</t>
  </si>
  <si>
    <t>Rioblanco</t>
  </si>
  <si>
    <t>Roncesvalles</t>
  </si>
  <si>
    <t>Rovira</t>
  </si>
  <si>
    <t>Saldaña</t>
  </si>
  <si>
    <t>San Antonio</t>
  </si>
  <si>
    <t>Santa Isabel</t>
  </si>
  <si>
    <t>Valle de San Juan</t>
  </si>
  <si>
    <t>Venadillo</t>
  </si>
  <si>
    <t>Villahermosa</t>
  </si>
  <si>
    <t>Villarrica</t>
  </si>
  <si>
    <t>Cali</t>
  </si>
  <si>
    <t>Alcalá</t>
  </si>
  <si>
    <t>Andalucía</t>
  </si>
  <si>
    <t>Ansermanuevo</t>
  </si>
  <si>
    <t>Buenaventura</t>
  </si>
  <si>
    <t>Buga</t>
  </si>
  <si>
    <t>Bugalagrande</t>
  </si>
  <si>
    <t>Caicedonia</t>
  </si>
  <si>
    <t>Calima</t>
  </si>
  <si>
    <t>Cartago</t>
  </si>
  <si>
    <t>Dagua</t>
  </si>
  <si>
    <t>El Águila</t>
  </si>
  <si>
    <t>El Cairo</t>
  </si>
  <si>
    <t>El Cerrito</t>
  </si>
  <si>
    <t>El Dovio</t>
  </si>
  <si>
    <t>Florida</t>
  </si>
  <si>
    <t>Ginebra</t>
  </si>
  <si>
    <t>Guacarí</t>
  </si>
  <si>
    <t>Jamundí</t>
  </si>
  <si>
    <t>La Cumbre</t>
  </si>
  <si>
    <t>Obando</t>
  </si>
  <si>
    <t>Palmira</t>
  </si>
  <si>
    <t>Pradera</t>
  </si>
  <si>
    <t>Riofrío</t>
  </si>
  <si>
    <t>Roldanillo</t>
  </si>
  <si>
    <t>Sevilla</t>
  </si>
  <si>
    <t>Toro</t>
  </si>
  <si>
    <t>Trujillo</t>
  </si>
  <si>
    <t>Tuluá</t>
  </si>
  <si>
    <t>Ulloa</t>
  </si>
  <si>
    <t>Versalles</t>
  </si>
  <si>
    <t>Vijes</t>
  </si>
  <si>
    <t>Yotoco</t>
  </si>
  <si>
    <t>Yumbo</t>
  </si>
  <si>
    <t>Zarzal</t>
  </si>
  <si>
    <t>Mitú</t>
  </si>
  <si>
    <t>Carurú</t>
  </si>
  <si>
    <t>Pacoa</t>
  </si>
  <si>
    <t>Papunaua</t>
  </si>
  <si>
    <t>Taraira</t>
  </si>
  <si>
    <t>Yavaraté</t>
  </si>
  <si>
    <t>Puerto Carreño</t>
  </si>
  <si>
    <t>Cumaribo</t>
  </si>
  <si>
    <t>La Primavera</t>
  </si>
  <si>
    <t>Santa Rosalía</t>
  </si>
  <si>
    <t>Fuente de información
◉ Selección múltiple</t>
  </si>
  <si>
    <t>Enfoques
◉ Selección múltiple</t>
  </si>
  <si>
    <t>Nivel territorial
◉ Selección múltiple</t>
  </si>
  <si>
    <t>1. Música para la vida, el diálogo intercultural y la diversidad biocultural.</t>
  </si>
  <si>
    <t>2. Fortalecimiento de las prácticas, expresiones y oficios de la música.</t>
  </si>
  <si>
    <t>3. Gobernanza musical e integración cultural e intersectorial.</t>
  </si>
  <si>
    <t>Valor de la propuesta (COP)</t>
  </si>
  <si>
    <t>Observaciones generales</t>
  </si>
  <si>
    <t>Departamentos con asesorías y articulaciones realizadas a través de los comités departamentales de música: Gobernanza</t>
  </si>
  <si>
    <t>Porcentaje de avance en la consolidación de los Comités Departamentales de Música</t>
  </si>
  <si>
    <t>Asesorías y asistencias técnicas realizadas para la formulación e implementación de planes departamentales y desarrollo políticas del sector musical: Gobernanza</t>
  </si>
  <si>
    <t>Número de Planes de Desarrollo Musical</t>
  </si>
  <si>
    <t>Fomentar la creación y consolidación de asociaciones y redes de artistas que impulsen la organización y representación del sector en cada territorio.</t>
  </si>
  <si>
    <t>Número de Asociaciones de artistas consolidadas</t>
  </si>
  <si>
    <t>Establecer un mecanismo de participación del sector musical en todas las fases del ciclo de las políticas públicas (formulación, implementación y evaluación) en articulación con entidades regionales, departamentales, municipales.</t>
  </si>
  <si>
    <t>Porcentaje de avance en el mecanismo de participación del sector musical</t>
  </si>
  <si>
    <t>Implementar una estrategia articulada entre la Dirección de Poblaciones, la Dirección de Fomento Regional y la Dirección de Artes, en coordinación con el Ministerio de Salud, para promover la inclusión de artistas-músicos en los programas de seguridad social, como BEPS y otras estrategias implementadas por el Ministerio de las Culturas.</t>
  </si>
  <si>
    <t>Porcentaje de avance en la implementación de la estrategia para promover la inclusión de músicos en programas de seguridad social</t>
  </si>
  <si>
    <t>En articulación con los diferentes agentes del sector musical, construir criterios de regulación de tarifas de referencia para la valoración económica de los diferentes oficios del sector musical.</t>
  </si>
  <si>
    <t>Porcentaje de avance en la tabla de tarifas de referencia para los oficios del sector musical.</t>
  </si>
  <si>
    <t>Impulsar la creación y el fortalecimiento de mercados regionales de música, tanto para la circulación en vivo como en soportes digitales, promoviendo el acceso a circuitos comerciales y contribuyendo a la sostenibilidad económica del sector musical en los territorios.</t>
  </si>
  <si>
    <t>Número de mercados musicales creados y fortalecidos</t>
  </si>
  <si>
    <t>Nombre Indicador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</si>
  <si>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</si>
  <si>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</si>
  <si>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</si>
  <si>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</si>
  <si>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</si>
  <si>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</si>
  <si>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</si>
  <si>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</si>
  <si>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</si>
  <si>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</si>
  <si>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</si>
  <si>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</si>
  <si>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Avance cuantitativo</t>
  </si>
  <si>
    <t>Detalle</t>
  </si>
  <si>
    <t>Avance cuantitativo​</t>
  </si>
  <si>
    <t>Detalle​</t>
  </si>
  <si>
    <t>Avance cuantitativo​​</t>
  </si>
  <si>
    <t>Detalle​​</t>
  </si>
  <si>
    <t>Avance cuantitativo​​​</t>
  </si>
  <si>
    <t>Detalle​​​</t>
  </si>
  <si>
    <t>Avance cuantitativo​​​​</t>
  </si>
  <si>
    <t>Detalle​​​​</t>
  </si>
  <si>
    <t>Avance cuantitativo​​​​​</t>
  </si>
  <si>
    <t>Detalle​​​​​</t>
  </si>
  <si>
    <t>Avance cuantitativo​​​​​​</t>
  </si>
  <si>
    <t>Detalle​​​​​​</t>
  </si>
  <si>
    <t>Avance cuantitativo​​​​​​​</t>
  </si>
  <si>
    <t>Detalle​​​​​​​</t>
  </si>
  <si>
    <t>Avance cuantitativo​​​​​​​​</t>
  </si>
  <si>
    <t>Detalle​​​​​​​​</t>
  </si>
  <si>
    <t>Avance cuantitativo​​​​​​​​​</t>
  </si>
  <si>
    <t>Detalle​​​​​​​​​</t>
  </si>
  <si>
    <t>Avance cuantitativo​​​​​​​​​​</t>
  </si>
  <si>
    <t>Detalle​​​​​​​​​​</t>
  </si>
  <si>
    <t>Avance cuantitativo​​​​​​​​​​​</t>
  </si>
  <si>
    <t>Detalle​​​​​​​​​​​</t>
  </si>
  <si>
    <t>Ciudad</t>
  </si>
  <si>
    <t>TiposAgente</t>
  </si>
  <si>
    <t>Institucional - Agente Interno</t>
  </si>
  <si>
    <t>Institucional - Agente Externo</t>
  </si>
  <si>
    <t>Sectorial</t>
  </si>
  <si>
    <t>Comunitario y sociedad civil</t>
  </si>
  <si>
    <t>Acto_Inst_Int</t>
  </si>
  <si>
    <t>Grupo de Música</t>
  </si>
  <si>
    <t>Grupo de Gobernanza y Políticas Públicas</t>
  </si>
  <si>
    <t>Fomento Regional</t>
  </si>
  <si>
    <t>D.E.D.E.</t>
  </si>
  <si>
    <t>Poblaciones</t>
  </si>
  <si>
    <t>Grupo de Circo</t>
  </si>
  <si>
    <t>Grupo de Artes y Saberes PDET</t>
  </si>
  <si>
    <t>Acto_Inst_Ext</t>
  </si>
  <si>
    <t>Alcaldías</t>
  </si>
  <si>
    <t>Gobernaciones</t>
  </si>
  <si>
    <t>Secretarías Locales de Cultura</t>
  </si>
  <si>
    <t>Ministerio del Trabajo</t>
  </si>
  <si>
    <t>Ministerio de Educación</t>
  </si>
  <si>
    <t>Ministerio del Deporte</t>
  </si>
  <si>
    <t>JEP</t>
  </si>
  <si>
    <t>Unidad para las Víctimas</t>
  </si>
  <si>
    <t>ARN (Agencia para la Reincorporación y la Normalización)</t>
  </si>
  <si>
    <t>Acto_Sect</t>
  </si>
  <si>
    <t>Creadores(as) y compositores(as)</t>
  </si>
  <si>
    <t>Intérpretes y agrupaciones</t>
  </si>
  <si>
    <t>Docentes y formadores(as)</t>
  </si>
  <si>
    <t>Investigadores(as) y musicólogos(as)</t>
  </si>
  <si>
    <t>Productores(as) y técnicos(as)</t>
  </si>
  <si>
    <t>Gestores(as) y promotores(as)</t>
  </si>
  <si>
    <t>Medios de comunicación y plataformas digitales</t>
  </si>
  <si>
    <t>Industria de la circulación musical</t>
  </si>
  <si>
    <t>Constructores(as) de instrumentos musicales</t>
  </si>
  <si>
    <t>Agentes de gestión de derechos de la música y plataformas digitales</t>
  </si>
  <si>
    <t>Cámaras de comercio y redes de apoyo</t>
  </si>
  <si>
    <t>Entidades de educación superior, formación técnica y tecnológica</t>
  </si>
  <si>
    <t>Organizaciones de carácter público-privado</t>
  </si>
  <si>
    <t>Acto_Comu</t>
  </si>
  <si>
    <t>Asociaciones y sindicatos de músicos</t>
  </si>
  <si>
    <t>Organizaciones sin ánimo de lucro</t>
  </si>
  <si>
    <t>Asociaciones de padres de familia</t>
  </si>
  <si>
    <t>Organizadores de festivales y eventos comunitarios</t>
  </si>
  <si>
    <t>Cabildos indígenas</t>
  </si>
  <si>
    <t>Consejos comunitarios afrocolombianos</t>
  </si>
  <si>
    <t>Coleccionistas</t>
  </si>
  <si>
    <t>Sociedades de Amigos de la Música</t>
  </si>
  <si>
    <t>Categoria</t>
  </si>
  <si>
    <t>KeyName</t>
  </si>
  <si>
    <t>Tipo de agente (categoría)</t>
  </si>
  <si>
    <t>Comp_Eje_1</t>
  </si>
  <si>
    <t>Comp_Eje_2</t>
  </si>
  <si>
    <t>Comp_Eje_3</t>
  </si>
  <si>
    <t>Apropiación de la música y de los derechos culturales.</t>
  </si>
  <si>
    <t>Enfoque poblacional y cultura de paz.</t>
  </si>
  <si>
    <t>Formación.</t>
  </si>
  <si>
    <t>Creación y producción.</t>
  </si>
  <si>
    <t>Circulación.</t>
  </si>
  <si>
    <t>Dotación e infraestructura.</t>
  </si>
  <si>
    <t>Memoria, investigación y documentación.</t>
  </si>
  <si>
    <t>Información y comunicación.</t>
  </si>
  <si>
    <t>Participación ciudadana, intersectorialidad y articulación territorial.</t>
  </si>
  <si>
    <t>Sostenibilidad, condiciones laborales y economías de la música.</t>
  </si>
  <si>
    <t>Eje</t>
  </si>
  <si>
    <t>KeyComp</t>
  </si>
  <si>
    <t>Nombre</t>
  </si>
  <si>
    <t>Fórmula de cálculo</t>
  </si>
  <si>
    <t>Diseño del mecanismo 25%</t>
  </si>
  <si>
    <t>Apropiación de la reglamentación en torno al Sistema Nacional de Cultura SNCu, establecido por la Ley 397 de 1997 (Ley General de Cultura), se define como el "conjunto de instancias y procesos de desarrollo institucional, planificación e información articulados entre sí, que posibilitan el desarrollo cultural y el acceso de la comunidad a los bienes y servicios culturales según los principios de descentralización, participación y autonomía". Acta de sesión teórica de acompañamiento "7%"</t>
  </si>
  <si>
    <t>Diagnóstico y caracterización de Consejos Municipales, Distritales y Departamentales de Cultura, de igual manera, identificar el/la Consejero Nacional de Música existentes en el territorio, alojar datos de sus representantes y estado del consejo en la presente Ficha, pestaña "Actores" 8%</t>
  </si>
  <si>
    <t>Creación de un canal de comunicación (grupo de WhatsApp) estimulando la comunicación permanente entre los diferentes eslabones del SNCu identificados (grupo de WhatsApp creado) "10%"</t>
  </si>
  <si>
    <t>Establecimiento de Hoja de Ruta y Cronograma 50%</t>
  </si>
  <si>
    <t>Encuentro entre los diferentes eslabones del SNCu identificados con el fin de establecer una hoja de ruta y cronograma de actividades (teniendo en cuenta un margen diverso de temas, que permitan la identificación de documentos normativos establecidos (Planes Municipales y Departamentales de Cultura, PNMC, PNC, PND, Ley General de Cultura), revisión de avances de los documentos que atañen lo territorial y análisis de lo Nacional e Internacional, propuestas para participar en acciones de actualización o creación de Planes de Cultura, entre otros. Acta de encuentros y cronograma de actividades "50%"</t>
  </si>
  <si>
    <t>Ejecución y Evaluación 25%</t>
  </si>
  <si>
    <t>Implementación de la hoja de ruta trazada de acuerdo al cronograma establecido. Documentos que evidencien la acción realizada (Actas, Fotos, videos, listados de asistencia, entre otros) 25%</t>
  </si>
  <si>
    <t>Diagnóstico del estado de acceso a la seguridad social 25%</t>
  </si>
  <si>
    <t>Articulación con Colpensiones a nivel municipal o departamental con el fin de evaluar el alcance de apoyos a la población Adulto Mayor (cantidad de beneficiarios por municipio o departamento). Documento que evidencie la información oficial de Colpensiones en el territorio 25%. Nota: BEPS no es el único beneficio para la población Adulto Mayor, existen también los programas solidarios Colombia Mayor y Dignidad Mayor, sin embargo, estos son administrados por Prosperidad Social a nivel municipal o departamental.</t>
  </si>
  <si>
    <t>Diseño de la estrategia 25%</t>
  </si>
  <si>
    <t>Articulación con entes territoriales culturales o instituciones educativas con el fin de diseñar la estrategia de inclusión de nuevos beneficiarios a los programas solidarios para la población Adulto Mayor, por ejemplo: una actividad de recolección de documentos de manera presencial, realizado en Casa de la Cultura o Colegio, articulando administración municipal, institución educativa, Colpensiones, Prosperidad Social. Documento que evidencie la mencionada articulación 25%</t>
  </si>
  <si>
    <t>Implementación 25%</t>
  </si>
  <si>
    <t>Jornada(s) de inclusión de nuevos beneficiarios. Evidencia de actividad realizada 25%</t>
  </si>
  <si>
    <t>Evaluación 25%</t>
  </si>
  <si>
    <t>Verificación en sistemas de Colpensiones o Prosperidad Social la inclusión de los nuevos beneficiarios. Pantallazo de sistemas de información o documento que acredite el beneficio de un número indeterminado de Adultos Mayores 25%. Si por cuestiones temporales el beneficiario aún no aparece en plataforma, es suficiente para la evaluación el formulario de registro.</t>
  </si>
  <si>
    <t>Diagnóstico de problemática 25%</t>
  </si>
  <si>
    <t>Identificación de la problemática relacionada con tarifas en un Subsector particular del Ecosistema Musical y propiciar diálogos con representantes. Evidencia de encuentros 25%</t>
  </si>
  <si>
    <t>Diseño de los criterios de regulación 25%</t>
  </si>
  <si>
    <t>Concertación en torno a los criterios de regulación (trayectoria, calidad, formato, producción en escena, producción musical). Documento que evidencie los criterios de regulación, tomar en cuenta procesos similares 25%</t>
  </si>
  <si>
    <t>Realización de la tabla 25%</t>
  </si>
  <si>
    <t>Tabla de valores que relacione los criterios definidos y el cruce con horas laborales y recursos logísticos 25%</t>
  </si>
  <si>
    <t>Validación temporal (1 mes) revisando el impacto de la concertación. Encuestas o entrevistas que den cuenta del alcance del diálogo Subsectorial 25%</t>
  </si>
  <si>
    <t xml:space="preserve"> Descripción / detalle</t>
  </si>
  <si>
    <t>MESES</t>
  </si>
  <si>
    <t>Años</t>
  </si>
  <si>
    <t>Ordenanzas Culturales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</si>
</sst>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yy"/>
    <numFmt numFmtId="165" formatCode="0.0%;\(0.0%\);\-"/>
    <numFmt numFmtId="166" formatCode="[$$-240A]\ #,##0;[Red]\([$$-240A]\ #,##0\);\-"/>
    <numFmt numFmtId="168" formatCode="#,##0;\(#,##0\);\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Century Gothic"/>
      <family val="2"/>
    </font>
    <font>
      <b/>
      <sz val="10"/>
      <color rgb="FFFFFFFF"/>
      <name val="Century Gothic"/>
      <family val="2"/>
    </font>
    <font>
      <sz val="10"/>
      <color theme="1"/>
      <name val="Century Gothic"/>
      <family val="2"/>
    </font>
    <font>
      <b/>
      <sz val="9"/>
      <color rgb="FFFFFFFF"/>
      <name val="Century Gothic"/>
      <family val="2"/>
    </font>
    <font>
      <sz val="9"/>
      <color theme="1"/>
      <name val="Century Gothic"/>
      <family val="2"/>
    </font>
  </fonts>
  <fills count="2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281E5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2F0F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F0F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vertical="center"/>
    </xf>
    <xf numFmtId="164" fontId="5" fillId="0" borderId="0" xfId="0" applyNumberFormat="1" applyFont="1" applyAlignment="1" applyProtection="1">
      <alignment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4" fillId="2" borderId="0" xfId="0" applyFont="1" applyFill="1" applyAlignment="1">
      <alignment vertical="center"/>
    </xf>
    <xf numFmtId="1" fontId="5" fillId="0" borderId="0" xfId="0" applyNumberFormat="1" applyFont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left" vertical="center" wrapText="1"/>
      <protection locked="0"/>
    </xf>
    <xf numFmtId="166" fontId="5" fillId="0" borderId="0" xfId="0" applyNumberFormat="1" applyFont="1" applyAlignment="1" applyProtection="1">
      <alignment horizontal="right" vertical="center" wrapText="1"/>
      <protection locked="0"/>
    </xf>
    <xf numFmtId="9" fontId="5" fillId="0" borderId="0" xfId="1" applyFont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vertical="center" wrapText="1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3" fillId="14" borderId="0" xfId="0" applyFont="1" applyFill="1" applyAlignment="1" applyProtection="1">
      <alignment horizontal="center" vertical="center" wrapText="1"/>
      <protection hidden="1"/>
    </xf>
    <xf numFmtId="0" fontId="3" fillId="15" borderId="0" xfId="0" applyFont="1" applyFill="1" applyAlignment="1" applyProtection="1">
      <alignment horizontal="center" vertical="center" wrapText="1"/>
      <protection hidden="1"/>
    </xf>
    <xf numFmtId="0" fontId="3" fillId="12" borderId="0" xfId="0" applyFont="1" applyFill="1" applyAlignment="1" applyProtection="1">
      <alignment horizontal="center" vertical="center" wrapText="1"/>
      <protection hidden="1"/>
    </xf>
    <xf numFmtId="0" fontId="3" fillId="13" borderId="0" xfId="0" applyFont="1" applyFill="1" applyAlignment="1" applyProtection="1">
      <alignment horizontal="center" vertical="center" wrapText="1"/>
      <protection hidden="1"/>
    </xf>
    <xf numFmtId="0" fontId="3" fillId="9" borderId="0" xfId="0" applyFont="1" applyFill="1" applyAlignment="1" applyProtection="1">
      <alignment horizontal="center" vertical="center" wrapText="1"/>
      <protection hidden="1"/>
    </xf>
    <xf numFmtId="0" fontId="3" fillId="16" borderId="0" xfId="0" applyFont="1" applyFill="1" applyAlignment="1" applyProtection="1">
      <alignment horizontal="center" vertical="center" wrapText="1"/>
      <protection hidden="1"/>
    </xf>
    <xf numFmtId="0" fontId="3" fillId="11" borderId="0" xfId="0" applyFont="1" applyFill="1" applyAlignment="1" applyProtection="1">
      <alignment horizontal="center" vertical="center" wrapText="1"/>
      <protection hidden="1"/>
    </xf>
    <xf numFmtId="0" fontId="3" fillId="17" borderId="0" xfId="0" applyFont="1" applyFill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165" fontId="5" fillId="11" borderId="0" xfId="0" applyNumberFormat="1" applyFont="1" applyFill="1" applyAlignment="1" applyProtection="1">
      <alignment horizontal="right" vertical="center" wrapText="1"/>
      <protection hidden="1"/>
    </xf>
    <xf numFmtId="9" fontId="5" fillId="0" borderId="0" xfId="1" applyFont="1" applyFill="1" applyAlignment="1" applyProtection="1">
      <alignment horizontal="center" vertical="center" wrapText="1"/>
      <protection hidden="1"/>
    </xf>
    <xf numFmtId="165" fontId="5" fillId="11" borderId="1" xfId="0" applyNumberFormat="1" applyFont="1" applyFill="1" applyBorder="1" applyAlignment="1" applyProtection="1">
      <alignment horizontal="right" vertical="center" wrapText="1"/>
      <protection hidden="1"/>
    </xf>
    <xf numFmtId="0" fontId="4" fillId="2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7" fillId="0" borderId="0" xfId="0" applyFont="1"/>
    <xf numFmtId="0" fontId="7" fillId="0" borderId="0" xfId="0" applyFont="1" applyAlignment="1">
      <alignment vertical="center"/>
    </xf>
    <xf numFmtId="0" fontId="7" fillId="19" borderId="2" xfId="0" applyFont="1" applyFill="1" applyBorder="1" applyAlignment="1" applyProtection="1">
      <alignment horizontal="left" vertical="center" wrapText="1"/>
      <protection hidden="1"/>
    </xf>
    <xf numFmtId="0" fontId="6" fillId="3" borderId="2" xfId="0" applyFont="1" applyFill="1" applyBorder="1" applyAlignment="1">
      <alignment horizontal="center" vertical="center" wrapText="1"/>
    </xf>
    <xf numFmtId="165" fontId="7" fillId="21" borderId="2" xfId="0" applyNumberFormat="1" applyFont="1" applyFill="1" applyBorder="1" applyAlignment="1" applyProtection="1">
      <alignment horizontal="center" vertical="center" wrapText="1"/>
      <protection hidden="1"/>
    </xf>
    <xf numFmtId="0" fontId="4" fillId="18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4" fillId="7" borderId="0" xfId="0" applyFont="1" applyFill="1" applyAlignment="1" applyProtection="1">
      <alignment horizontal="center" vertical="center"/>
      <protection hidden="1"/>
    </xf>
    <xf numFmtId="0" fontId="4" fillId="8" borderId="0" xfId="0" applyFont="1" applyFill="1" applyAlignment="1" applyProtection="1">
      <alignment horizontal="center" vertical="center"/>
      <protection hidden="1"/>
    </xf>
    <xf numFmtId="0" fontId="4" fillId="10" borderId="0" xfId="0" applyFont="1" applyFill="1" applyAlignment="1" applyProtection="1">
      <alignment horizontal="center"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7" fillId="20" borderId="2" xfId="0" applyFont="1" applyFill="1" applyBorder="1" applyAlignment="1" applyProtection="1">
      <alignment horizontal="center" vertical="center" wrapText="1"/>
      <protection locked="0"/>
    </xf>
    <xf numFmtId="1" fontId="7" fillId="20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20" borderId="2" xfId="0" applyFont="1" applyFill="1" applyBorder="1" applyAlignment="1" applyProtection="1">
      <alignment vertical="center" wrapText="1"/>
      <protection locked="0"/>
    </xf>
    <xf numFmtId="0" fontId="7" fillId="19" borderId="3" xfId="0" applyFont="1" applyFill="1" applyBorder="1" applyAlignment="1" applyProtection="1">
      <alignment horizontal="center" vertical="center" wrapText="1"/>
      <protection hidden="1"/>
    </xf>
    <xf numFmtId="0" fontId="7" fillId="19" borderId="4" xfId="0" applyFont="1" applyFill="1" applyBorder="1" applyAlignment="1" applyProtection="1">
      <alignment horizontal="center" vertical="center" wrapText="1"/>
      <protection hidden="1"/>
    </xf>
    <xf numFmtId="0" fontId="7" fillId="19" borderId="5" xfId="0" applyFont="1" applyFill="1" applyBorder="1" applyAlignment="1" applyProtection="1">
      <alignment horizontal="center" vertical="center" wrapText="1"/>
      <protection hidden="1"/>
    </xf>
    <xf numFmtId="0" fontId="7" fillId="19" borderId="2" xfId="0" applyFont="1" applyFill="1" applyBorder="1" applyAlignment="1" applyProtection="1">
      <alignment horizontal="left" vertical="center" wrapText="1"/>
      <protection hidden="1"/>
    </xf>
    <xf numFmtId="9" fontId="7" fillId="19" borderId="2" xfId="0" applyNumberFormat="1" applyFont="1" applyFill="1" applyBorder="1" applyAlignment="1" applyProtection="1">
      <alignment horizontal="center" vertical="center" wrapText="1"/>
      <protection hidden="1"/>
    </xf>
    <xf numFmtId="165" fontId="7" fillId="21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21" borderId="3" xfId="0" applyNumberFormat="1" applyFill="1" applyBorder="1" applyProtection="1">
      <protection hidden="1"/>
    </xf>
    <xf numFmtId="168" fontId="5" fillId="11" borderId="0" xfId="0" applyNumberFormat="1" applyFont="1" applyFill="1" applyAlignment="1" applyProtection="1">
      <alignment horizontal="right" vertical="center" wrapText="1"/>
      <protection hidden="1"/>
    </xf>
    <xf numFmtId="168" fontId="5" fillId="11" borderId="1" xfId="0" applyNumberFormat="1" applyFont="1" applyFill="1" applyBorder="1" applyAlignment="1" applyProtection="1">
      <alignment horizontal="right" vertical="center" wrapText="1"/>
      <protection hidden="1"/>
    </xf>
    <xf numFmtId="168" fontId="5" fillId="0" borderId="0" xfId="0" applyNumberFormat="1" applyFont="1" applyAlignment="1" applyProtection="1">
      <alignment vertical="center"/>
      <protection hidden="1"/>
    </xf>
    <xf numFmtId="0" fontId="7" fillId="0" borderId="2" xfId="0" applyFont="1" applyFill="1" applyBorder="1" applyAlignment="1" applyProtection="1">
      <alignment horizontal="left" vertical="center" wrapText="1"/>
      <protection locked="0"/>
    </xf>
    <xf numFmtId="165" fontId="0" fillId="0" borderId="4" xfId="0" applyNumberFormat="1" applyBorder="1" applyProtection="1">
      <protection hidden="1"/>
    </xf>
    <xf numFmtId="165" fontId="0" fillId="0" borderId="5" xfId="0" applyNumberFormat="1" applyBorder="1" applyProtection="1">
      <protection hidden="1"/>
    </xf>
  </cellXfs>
  <cellStyles count="2">
    <cellStyle name="Normal" xfId="0" builtinId="0"/>
    <cellStyle name="Porcentaje" xfId="1" builtinId="5"/>
  </cellStyles>
  <dxfs count="103"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solid">
          <fgColor indexed="64"/>
          <bgColor rgb="FFE7F0F8"/>
        </patternFill>
      </fill>
      <alignment horizontal="right" vertical="center" textRotation="0" wrapText="1" indent="0" justifyLastLine="0" shrinkToFit="0" readingOrder="0"/>
      <protection locked="1" hidden="1"/>
    </dxf>
    <dxf>
      <numFmt numFmtId="168" formatCode="#,##0;\(#,##0\);\-"/>
    </dxf>
    <dxf>
      <numFmt numFmtId="165" formatCode="0.0%;\(0.0%\);\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alignment horizontal="general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solid">
          <fgColor indexed="64"/>
          <bgColor rgb="FFF2F2F2"/>
        </patternFill>
      </fill>
      <alignment horizontal="general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indexed="64"/>
          <bgColor rgb="FF281E52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9" formatCode="&quot;$&quot;#,##0"/>
      <alignment horizontal="righ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solid">
          <fgColor indexed="64"/>
          <bgColor rgb="FFF2F2F2"/>
        </patternFill>
      </fill>
      <alignment horizontal="general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indexed="64"/>
          <bgColor rgb="FF281E52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solid">
          <fgColor indexed="64"/>
          <bgColor rgb="FFF2F2F2"/>
        </patternFill>
      </fill>
      <alignment horizontal="general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indexed="64"/>
          <bgColor rgb="FF281E52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solid">
          <fgColor indexed="64"/>
          <bgColor rgb="FFF2F2F2"/>
        </patternFill>
      </fill>
      <alignment horizontal="general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indexed="64"/>
          <bgColor rgb="FF281E52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4" formatCode="dd/mm/yyyy"/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indexed="64"/>
          <bgColor rgb="FF281E52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solid">
          <fgColor indexed="64"/>
          <bgColor rgb="FFE7F0F8"/>
        </patternFill>
      </fill>
      <alignment horizontal="right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" formatCode="0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5" formatCode="0.0%;\(0.0%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30" formatCode="@"/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168" formatCode="#,##0;\(#,##0\);\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1"/>
    </dxf>
    <dxf>
      <font>
        <i val="0"/>
        <strike val="0"/>
        <outline val="0"/>
        <shadow val="0"/>
        <u val="none"/>
        <vertAlign val="baseline"/>
        <sz val="10"/>
        <name val="Century Gothic"/>
        <family val="2"/>
        <scheme val="none"/>
      </font>
      <fill>
        <patternFill patternType="none">
          <fgColor indexed="64"/>
          <bgColor rgb="FFF2F2F2"/>
        </patternFill>
      </fill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alignment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protection locked="1" hidden="1"/>
    </dxf>
    <dxf>
      <font>
        <b/>
        <i val="0"/>
        <color theme="0"/>
      </font>
      <fill>
        <patternFill>
          <bgColor rgb="FF7030A0"/>
        </patternFill>
      </fill>
    </dxf>
    <dxf>
      <border>
        <vertical style="thin">
          <color auto="1"/>
        </vertical>
        <horizontal style="thin">
          <color auto="1"/>
        </horizontal>
      </border>
    </dxf>
  </dxfs>
  <tableStyles count="1" defaultTableStyle="Mincultura" defaultPivotStyle="PivotStyleLight16">
    <tableStyle name="Mincultura" pivot="0" count="2" xr9:uid="{629D6331-E1DD-4AC5-B500-58493BAE4D72}">
      <tableStyleElement type="wholeTable" dxfId="102"/>
      <tableStyleElement type="headerRow" dxfId="101"/>
    </tableStyle>
  </tableStyles>
  <colors>
    <mruColors>
      <color rgb="FF281E52"/>
      <color rgb="FFF2F0FB"/>
      <color rgb="FF4B3C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F71CD4-9A42-4235-B06E-D7129F04A656}" name="Identificacion" displayName="Identificacion" ref="A1:G51" totalsRowShown="0" headerRowDxfId="66" dataDxfId="65">
  <autoFilter ref="A1:G51" xr:uid="{03F71CD4-9A42-4235-B06E-D7129F04A65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A209050-9603-4306-80FB-519C7D495089}" name="Fecha de levantamiento" dataDxfId="64"/>
    <tableColumn id="2" xr3:uid="{DD5144D4-0FD9-4B19-A208-753C080CFD2C}" name="Departamento" dataDxfId="63"/>
    <tableColumn id="3" xr3:uid="{E71B7867-5496-4118-AE84-47CD3E83A202}" name="Ciudad" dataDxfId="62"/>
    <tableColumn id="4" xr3:uid="{488EA499-16AF-42A4-8F2D-C3531B6F83CC}" name="Responsable del registro (Gestor)" dataDxfId="61"/>
    <tableColumn id="5" xr3:uid="{A6DBDA3B-11F0-42BC-BD62-1D5BCC7ADE1B}" name="Región OCAD" dataDxfId="60"/>
    <tableColumn id="6" xr3:uid="{A704BB27-9FEE-4CD3-85F8-49AE9F1BE9D7}" name="Fuente de información_x000a_◉ Selección múltiple" dataDxfId="59"/>
    <tableColumn id="7" xr3:uid="{9D1861BF-4A3B-4DED-BC2B-0502D3943479}" name="Observaciones" dataDxfId="5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C8EB6E-BCA8-4467-948F-D07506E14169}" name="Diagnostico" displayName="Diagnostico" ref="A1:N51" totalsRowShown="0" headerRowDxfId="57" dataDxfId="56">
  <autoFilter ref="A1:N51" xr:uid="{72C8EB6E-BCA8-4467-948F-D07506E141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647B7459-0146-4059-AEF8-5F8E2E0083DB}" name="Departamento" dataDxfId="55">
      <calculatedColumnFormula>IF(Identificación!$B2="","",Identificación!$B2)</calculatedColumnFormula>
    </tableColumn>
    <tableColumn id="2" xr3:uid="{84292727-04CC-4E93-AC41-3A4B061EEB9D}" name="Caracterización general del ecosistema musical" dataDxfId="54"/>
    <tableColumn id="3" xr3:uid="{4CB7B2A2-56AF-4940-8F1F-EB0B8886947A}" name="Fortalezas identificadas" dataDxfId="53"/>
    <tableColumn id="4" xr3:uid="{52FBE653-6AE7-465C-BBC9-93F710CC19EA}" name="Políticas priorizadas" dataDxfId="52"/>
    <tableColumn id="5" xr3:uid="{3ECCAD56-77C2-4DE7-9943-DBC69C08BA7A}" name="Debilidades identificadas" dataDxfId="51"/>
    <tableColumn id="6" xr3:uid="{5D0EE3D5-9B6F-4F87-9AE0-913FE9B50E11}" name="Tensiones o conflictos" dataDxfId="50"/>
    <tableColumn id="7" xr3:uid="{2351725C-F1CD-4E9C-B585-CE67DC819053}" name="CODEMUS – Comité Dptal de Música" dataDxfId="49"/>
    <tableColumn id="8" xr3:uid="{6BA2402F-7AF2-4B4E-A83B-F197D5DC9614}" name="Plan Departamental de Cultura" dataDxfId="48"/>
    <tableColumn id="9" xr3:uid="{29B02880-68E2-4FAE-B814-3739FA9D0E2F}" name="Consejo Departamental de Cultura" dataDxfId="47"/>
    <tableColumn id="10" xr3:uid="{C4AF8727-6E76-4B02-B2F4-7EA64900E535}" name="Plan Departamental de Música" dataDxfId="46"/>
    <tableColumn id="14" xr3:uid="{14F19047-FC9D-437D-A3D0-AB3F69F697F8}" name="Ordenanzas Culturales" dataDxfId="3"/>
    <tableColumn id="11" xr3:uid="{688E708D-5685-46B7-9D45-1805794AF822}" name="Consejo Departamental de Música" dataDxfId="45"/>
    <tableColumn id="12" xr3:uid="{AECF6E98-EB37-4DAE-A7E5-3E7A50498371}" name="Mesa sectorial o territorial identificada" dataDxfId="44"/>
    <tableColumn id="13" xr3:uid="{C7A3AEBE-5769-45CE-BD81-63AD7CF15571}" name="Observaciones" dataDxfId="4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84F3B-7832-47B3-9CA8-114F96A82BE5}" name="Oportunidades" displayName="Oportunidades" ref="A1:G51" totalsRowShown="0" headerRowDxfId="42" dataDxfId="41">
  <autoFilter ref="A1:G51" xr:uid="{9EB84F3B-7832-47B3-9CA8-114F96A82B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C3BDEAF-14E6-4C4B-BD8F-C586108DC8A4}" name="Departamento" dataDxfId="40">
      <calculatedColumnFormula>IF(Identificación!$B2="","",Identificación!$B2)</calculatedColumnFormula>
    </tableColumn>
    <tableColumn id="2" xr3:uid="{DF3C0047-7D61-449B-8B35-AAEF35CF0550}" name="Situación identificada" dataDxfId="39"/>
    <tableColumn id="3" xr3:uid="{0CBFFA62-9AE9-40C9-8324-3C7B4F2BBC70}" name="Componente PNMC - Otras dependencias / Entidades" dataDxfId="38"/>
    <tableColumn id="4" xr3:uid="{C2793C74-A060-4299-B6AA-3815B5D15F56}" name="Aliados y creyentes" dataDxfId="37"/>
    <tableColumn id="5" xr3:uid="{4813CA94-F371-4A6D-8E4C-CC9C4C1A6D9E}" name="Territorio de influencia" dataDxfId="36"/>
    <tableColumn id="6" xr3:uid="{19159660-3E0B-4DE6-BFBD-7274929CBCFF}" name="Nivel de impacto" dataDxfId="35"/>
    <tableColumn id="7" xr3:uid="{AB43217B-A81E-40BB-8451-C7670D75B41E}" name="Descripción adicional" dataDxfId="3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00C3FD-B34F-444A-96FD-7A10B39197E4}" name="EjesPNMC" displayName="EjesPNMC" ref="A1:R51" totalsRowShown="0" headerRowDxfId="33" dataDxfId="32">
  <autoFilter ref="A1:R51" xr:uid="{3300C3FD-B34F-444A-96FD-7A10B39197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0E20FC1-86E2-465E-BB74-4BC82740716F}" name="Departamento" dataDxfId="31">
      <calculatedColumnFormula>IF(Identificación!$B2="","",Identificación!$B2)</calculatedColumnFormula>
    </tableColumn>
    <tableColumn id="2" xr3:uid="{17602C2C-D1D8-45C8-91A8-6193B42E0531}" name="Descripción hallazgo" dataDxfId="30"/>
    <tableColumn id="3" xr3:uid="{E5BE6C59-A80E-4812-87D5-2909431B92AE}" name="Eje PNMC" dataDxfId="29"/>
    <tableColumn id="4" xr3:uid="{D3B60016-248E-4B4B-8415-003AA4F9AB49}" name="Componente PNMC" dataDxfId="28"/>
    <tableColumn id="5" xr3:uid="{C7F3534A-FAED-4976-93D0-CAFB385DA44C}" name="Acción Estratégica" dataDxfId="27"/>
    <tableColumn id="6" xr3:uid="{0021580D-EEB8-4908-89B9-CE9AD87D62E0}" name="Política priorizada" dataDxfId="26"/>
    <tableColumn id="7" xr3:uid="{D222CC4C-D16A-4B80-97C8-5F9AC9D29E23}" name="Armonización PNC" dataDxfId="25"/>
    <tableColumn id="8" xr3:uid="{73C220FF-C10F-487D-9280-F8F5519523D6}" name="Armonización PND" dataDxfId="24"/>
    <tableColumn id="9" xr3:uid="{0DAD1DED-AB4D-4E03-9807-EB5282A67748}" name="Armonización Internacional" dataDxfId="23"/>
    <tableColumn id="10" xr3:uid="{01585618-1950-4F1F-87F0-8A5DA6D74DFE}" name="Nivel prioridad" dataDxfId="22"/>
    <tableColumn id="11" xr3:uid="{688F5257-E684-4DCC-AF0A-97BA398E07F6}" name="Aliados / Responsables" dataDxfId="21"/>
    <tableColumn id="12" xr3:uid="{855EB934-E6DF-40D3-BD24-31B0ED6B18E8}" name="Fuentes de financiación" dataDxfId="20"/>
    <tableColumn id="13" xr3:uid="{FBCE45BE-F1E8-442E-8DBB-534643693804}" name="Valor de la propuesta (COP)" dataDxfId="19"/>
    <tableColumn id="14" xr3:uid="{04CA819E-4ADB-4706-85F8-DEAC7F528800}" name="Enfoques_x000a_◉ Selección múltiple" dataDxfId="18"/>
    <tableColumn id="15" xr3:uid="{E53C871C-0E4C-4959-9D82-6D9B4F4F042D}" name="Descripción" dataDxfId="17"/>
    <tableColumn id="16" xr3:uid="{65E19AD8-B572-4DD7-8C28-2900FBD50345}" name="Cronograma" dataDxfId="16"/>
    <tableColumn id="17" xr3:uid="{2EB777BA-A6AE-4C2B-A79E-2A5A73A456BB}" name="Estado" dataDxfId="15"/>
    <tableColumn id="18" xr3:uid="{52ED7EF4-DDCA-44DD-AAAE-A992F3DA2ADA}" name="Observaciones" dataDxfId="1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CDE2DF-9CE7-407E-A94D-650907981C88}" name="Actores" displayName="Actores" ref="A1:H51" totalsRowShown="0" headerRowDxfId="13" dataDxfId="12">
  <autoFilter ref="A1:H51" xr:uid="{E8CDE2DF-9CE7-407E-A94D-650907981C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5E4B211-A689-4B59-BDC9-B602D3D4510C}" name="Departamento" dataDxfId="11">
      <calculatedColumnFormula>IF(Identificación!$B2="","",Identificación!$B2)</calculatedColumnFormula>
    </tableColumn>
    <tableColumn id="2" xr3:uid="{2DC182B4-B53E-4F64-ACDF-A45CB2A775C7}" name="Nombre del agente (creyente)" dataDxfId="10"/>
    <tableColumn id="3" xr3:uid="{CDC339EA-C9CE-4E91-A489-B894CEAB849B}" name="Tipo de agente (categoría)" dataDxfId="9"/>
    <tableColumn id="4" xr3:uid="{0C712712-A985-47FF-A800-4F2178B24AF1}" name="Rol en el ecosistema" dataDxfId="8"/>
    <tableColumn id="6" xr3:uid="{0CD5BADB-7CB0-43C8-9CF7-2FD3FBD96549}" name="Nivel territorial_x000a_◉ Selección múltiple" dataDxfId="7"/>
    <tableColumn id="7" xr3:uid="{B911828A-0734-4DBC-A387-CAA587C54717}" name="Número de contacto" dataDxfId="6"/>
    <tableColumn id="8" xr3:uid="{3176090C-1904-45C8-8D4E-D79FE97B17BA}" name="Correo electrónico" dataDxfId="5"/>
    <tableColumn id="9" xr3:uid="{3263CBDE-FBBC-431E-AE17-A314D8F5C6B7}" name="Observaciones" dataDxfId="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D3DA08-8212-4F96-9235-60AD4488B69F}" name="Indicadores" displayName="Indicadores" ref="A2:AG9" totalsRowShown="0" headerRowDxfId="100" dataDxfId="99">
  <autoFilter ref="A2:AG9" xr:uid="{CED3DA08-8212-4F96-9235-60AD4488B6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xr3:uid="{0BCA0A67-FB4B-4178-83B2-CB0556A69607}" name="Departamento" dataDxfId="98"/>
    <tableColumn id="2" xr3:uid="{9EACED40-CCFC-4239-B477-007F86F43D1C}" name="Acción" dataDxfId="97"/>
    <tableColumn id="3" xr3:uid="{B0B2CD3A-91F6-4442-B89D-281B7BC7B585}" name="Nombre Indicador" dataDxfId="96"/>
    <tableColumn id="4" xr3:uid="{2991305B-251F-4034-A836-DD99F32147BB}" name="Meta" dataDxfId="95"/>
    <tableColumn id="5" xr3:uid="{420EF4A5-2D3F-4C05-8F38-4C20F2215870}" name="Avance cuantitativo" dataDxfId="94"/>
    <tableColumn id="6" xr3:uid="{24D59B93-55DA-45F4-98D7-6C111015F8C7}" name="Detalle" dataDxfId="93"/>
    <tableColumn id="7" xr3:uid="{D31A80C9-2B62-4023-9668-CE3EB507933E}" name="Avance cuantitativo​" dataDxfId="92" dataCellStyle="Porcentaje"/>
    <tableColumn id="8" xr3:uid="{2A2DEE2C-C089-47EC-AA87-4DDC0639D8F7}" name="Detalle​" dataDxfId="91"/>
    <tableColumn id="9" xr3:uid="{7ACA772B-9B30-435E-8064-BB2B7126CF46}" name="Avance cuantitativo​​" dataDxfId="90" dataCellStyle="Porcentaje"/>
    <tableColumn id="10" xr3:uid="{DBB78A05-6B93-4A81-9590-B96D661BC9BA}" name="Detalle​​" dataDxfId="89"/>
    <tableColumn id="11" xr3:uid="{EFD68549-9240-4D85-B0CA-2D0C1EB10BF6}" name="Avance cuantitativo​​​" dataDxfId="88" dataCellStyle="Porcentaje"/>
    <tableColumn id="12" xr3:uid="{45330664-DC1F-47D8-BD2F-C17B1E0EB336}" name="Detalle​​​" dataDxfId="87"/>
    <tableColumn id="13" xr3:uid="{D16813EF-B544-49A0-897D-37C6E57FA853}" name="Avance cuantitativo​​​​" dataDxfId="86" dataCellStyle="Porcentaje"/>
    <tableColumn id="14" xr3:uid="{47490531-E0AD-4516-904B-B9FFF19A407D}" name="Detalle​​​​" dataDxfId="85"/>
    <tableColumn id="15" xr3:uid="{5B6A8785-41DB-49AC-9F9B-1BBCD5AD10FD}" name="Avance cuantitativo​​​​​" dataDxfId="84" dataCellStyle="Porcentaje"/>
    <tableColumn id="16" xr3:uid="{C2593FCC-57DE-4342-88EA-07BD0981FB8C}" name="Detalle​​​​​" dataDxfId="83"/>
    <tableColumn id="17" xr3:uid="{B2063259-9D11-4515-BF75-804670AC5E9B}" name="Avance cuantitativo​​​​​​" dataDxfId="82" dataCellStyle="Porcentaje"/>
    <tableColumn id="18" xr3:uid="{22006B2C-FB3B-4314-ABF5-46493D8AE086}" name="Detalle​​​​​​" dataDxfId="81"/>
    <tableColumn id="19" xr3:uid="{54026470-8858-43B6-8336-15A7C262C503}" name="Avance cuantitativo​​​​​​​" dataDxfId="80" dataCellStyle="Porcentaje"/>
    <tableColumn id="20" xr3:uid="{761A9E65-54BF-4289-83A1-9C841BC35486}" name="Detalle​​​​​​​" dataDxfId="79"/>
    <tableColumn id="21" xr3:uid="{654AB580-A621-414B-9B39-9F8E310619C1}" name="Avance cuantitativo​​​​​​​​" dataDxfId="78" dataCellStyle="Porcentaje"/>
    <tableColumn id="22" xr3:uid="{7EC9402A-EB86-4BB9-AE3C-1D3D11F19684}" name="Detalle​​​​​​​​" dataDxfId="77"/>
    <tableColumn id="23" xr3:uid="{F1A724D6-CA95-4A1C-96A0-D8C47FB2D8AC}" name="Avance cuantitativo​​​​​​​​​" dataDxfId="76" dataCellStyle="Porcentaje"/>
    <tableColumn id="24" xr3:uid="{E7F7F630-9768-4964-9ACD-D2C549F2125D}" name="Detalle​​​​​​​​​" dataDxfId="75"/>
    <tableColumn id="25" xr3:uid="{67C6FC06-0AE2-445C-AF7A-D2D683A2DC2C}" name="Avance cuantitativo​​​​​​​​​​" dataDxfId="74" dataCellStyle="Porcentaje"/>
    <tableColumn id="26" xr3:uid="{116922B6-6131-4999-9DC4-8C17008BA8CF}" name="Detalle​​​​​​​​​​" dataDxfId="73"/>
    <tableColumn id="27" xr3:uid="{377912C1-D23F-49F7-AF97-742A5FE9E617}" name="Avance cuantitativo​​​​​​​​​​​" dataDxfId="72" dataCellStyle="Porcentaje"/>
    <tableColumn id="28" xr3:uid="{4143ACF0-FB3E-4249-87EF-385EAABF431A}" name="Detalle​​​​​​​​​​​" dataDxfId="71"/>
    <tableColumn id="29" xr3:uid="{B11B86E2-9D75-4D80-BB77-1ECE8BF89DEE}" name="Valor actual (calc.)" dataDxfId="0">
      <calculatedColumnFormula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calculatedColumnFormula>
    </tableColumn>
    <tableColumn id="30" xr3:uid="{5C5E9CA8-0EC7-4A22-AAE8-8B3BB44F166C}" name="% Cumplimiento" dataDxfId="70">
      <calculatedColumnFormula>IFERROR(Indicadores[[#This Row],[Valor actual (calc.)]]/Indicadores[[#This Row],[Meta]],0)</calculatedColumnFormula>
    </tableColumn>
    <tableColumn id="31" xr3:uid="{87DDD0BB-CC57-4308-9E8D-A02072EAF280}" name="Fuente" dataDxfId="69"/>
    <tableColumn id="32" xr3:uid="{97A711B0-2E78-4F9C-BCC6-BF197EA7B04A}" name="Año" dataDxfId="68"/>
    <tableColumn id="33" xr3:uid="{2D6C265F-FCD1-46A6-9B2F-1D3D6894F0BC}" name="Observaciones generales" dataDxfId="6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  <wetp:taskpane dockstate="right" visibility="0" width="438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70E43C4-CC8E-4452-8A65-D443C3350219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5af996e1-24f8-4d56-95b9-9dc5bb4395cf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6FF6192-7D12-4D3A-8B4F-0338ECC2B7A1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c1554fdc-0ea9-4e4e-9ce8-c3f8f1d1bbe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53F33-7A04-4139-8B0F-1F185C8783DD}">
  <sheetPr codeName="Hoja1">
    <tabColor rgb="FF281E52"/>
  </sheetPr>
  <dimension ref="A1:AZ51"/>
  <sheetViews>
    <sheetView tabSelected="1" workbookViewId="0">
      <pane ySplit="1" topLeftCell="A2" activePane="bottomLeft" state="frozen"/>
      <selection activeCell="C13" sqref="C13"/>
      <selection pane="bottomLeft" activeCell="A2" sqref="A2"/>
    </sheetView>
  </sheetViews>
  <sheetFormatPr baseColWidth="10" defaultColWidth="0" defaultRowHeight="13.2" zeroHeight="1" x14ac:dyDescent="0.3"/>
  <cols>
    <col min="1" max="3" width="24.109375" style="2" customWidth="1"/>
    <col min="4" max="4" width="38.6640625" style="2" customWidth="1"/>
    <col min="5" max="5" width="32.77734375" style="2" customWidth="1"/>
    <col min="6" max="6" width="24.109375" style="2" customWidth="1"/>
    <col min="7" max="7" width="49.88671875" style="2" customWidth="1"/>
    <col min="8" max="52" width="11.88671875" style="2" hidden="1" customWidth="1"/>
    <col min="53" max="16384" width="0" style="2" hidden="1"/>
  </cols>
  <sheetData>
    <row r="1" spans="1:7" ht="42" customHeight="1" x14ac:dyDescent="0.3">
      <c r="A1" s="11" t="s">
        <v>106</v>
      </c>
      <c r="B1" s="11" t="s">
        <v>107</v>
      </c>
      <c r="C1" s="11" t="s">
        <v>1271</v>
      </c>
      <c r="D1" s="11" t="s">
        <v>108</v>
      </c>
      <c r="E1" s="11" t="s">
        <v>109</v>
      </c>
      <c r="F1" s="11" t="s">
        <v>1212</v>
      </c>
      <c r="G1" s="11" t="s">
        <v>110</v>
      </c>
    </row>
    <row r="2" spans="1:7" x14ac:dyDescent="0.3">
      <c r="A2" s="3"/>
      <c r="B2" s="4"/>
      <c r="C2" s="4"/>
      <c r="D2" s="5"/>
      <c r="E2" s="4"/>
      <c r="F2" s="4"/>
      <c r="G2" s="5"/>
    </row>
    <row r="3" spans="1:7" ht="15" customHeight="1" x14ac:dyDescent="0.3">
      <c r="A3" s="3"/>
      <c r="B3" s="4"/>
      <c r="C3" s="4"/>
      <c r="D3" s="5"/>
      <c r="E3" s="4"/>
      <c r="F3" s="4"/>
      <c r="G3" s="5"/>
    </row>
    <row r="4" spans="1:7" x14ac:dyDescent="0.3">
      <c r="A4" s="3"/>
      <c r="B4" s="4"/>
      <c r="C4" s="4"/>
      <c r="D4" s="5"/>
      <c r="E4" s="4"/>
      <c r="F4" s="4"/>
      <c r="G4" s="5"/>
    </row>
    <row r="5" spans="1:7" x14ac:dyDescent="0.3">
      <c r="A5" s="3"/>
      <c r="B5" s="4"/>
      <c r="C5" s="4"/>
      <c r="D5" s="5"/>
      <c r="E5" s="4"/>
      <c r="F5" s="4"/>
      <c r="G5" s="5"/>
    </row>
    <row r="6" spans="1:7" x14ac:dyDescent="0.3">
      <c r="A6" s="3"/>
      <c r="B6" s="4"/>
      <c r="C6" s="4"/>
      <c r="D6" s="5"/>
      <c r="E6" s="4"/>
      <c r="F6" s="4"/>
      <c r="G6" s="5"/>
    </row>
    <row r="7" spans="1:7" x14ac:dyDescent="0.3">
      <c r="A7" s="3"/>
      <c r="B7" s="4"/>
      <c r="C7" s="4"/>
      <c r="D7" s="5"/>
      <c r="E7" s="4"/>
      <c r="F7" s="4"/>
      <c r="G7" s="5"/>
    </row>
    <row r="8" spans="1:7" x14ac:dyDescent="0.3">
      <c r="A8" s="3"/>
      <c r="B8" s="4"/>
      <c r="C8" s="4"/>
      <c r="D8" s="5"/>
      <c r="E8" s="4"/>
      <c r="F8" s="4"/>
      <c r="G8" s="5"/>
    </row>
    <row r="9" spans="1:7" x14ac:dyDescent="0.3">
      <c r="A9" s="3"/>
      <c r="B9" s="4"/>
      <c r="C9" s="4"/>
      <c r="D9" s="5"/>
      <c r="E9" s="4"/>
      <c r="F9" s="4"/>
      <c r="G9" s="5"/>
    </row>
    <row r="10" spans="1:7" x14ac:dyDescent="0.3">
      <c r="A10" s="3"/>
      <c r="B10" s="4"/>
      <c r="C10" s="4"/>
      <c r="D10" s="5"/>
      <c r="E10" s="4"/>
      <c r="F10" s="4"/>
      <c r="G10" s="5"/>
    </row>
    <row r="11" spans="1:7" x14ac:dyDescent="0.3">
      <c r="A11" s="3"/>
      <c r="B11" s="4"/>
      <c r="C11" s="4"/>
      <c r="D11" s="5"/>
      <c r="E11" s="4"/>
      <c r="F11" s="4"/>
      <c r="G11" s="5"/>
    </row>
    <row r="12" spans="1:7" x14ac:dyDescent="0.3">
      <c r="A12" s="3"/>
      <c r="B12" s="4"/>
      <c r="C12" s="4"/>
      <c r="D12" s="5"/>
      <c r="E12" s="4"/>
      <c r="F12" s="4"/>
      <c r="G12" s="5"/>
    </row>
    <row r="13" spans="1:7" x14ac:dyDescent="0.3">
      <c r="A13" s="3"/>
      <c r="B13" s="4"/>
      <c r="C13" s="4"/>
      <c r="D13" s="5"/>
      <c r="E13" s="4"/>
      <c r="F13" s="4"/>
      <c r="G13" s="5"/>
    </row>
    <row r="14" spans="1:7" x14ac:dyDescent="0.3">
      <c r="A14" s="3"/>
      <c r="B14" s="4"/>
      <c r="C14" s="4"/>
      <c r="D14" s="5"/>
      <c r="E14" s="4"/>
      <c r="F14" s="4"/>
      <c r="G14" s="5"/>
    </row>
    <row r="15" spans="1:7" x14ac:dyDescent="0.3">
      <c r="A15" s="3"/>
      <c r="B15" s="4"/>
      <c r="C15" s="4"/>
      <c r="D15" s="5"/>
      <c r="E15" s="4"/>
      <c r="F15" s="4"/>
      <c r="G15" s="5"/>
    </row>
    <row r="16" spans="1:7" x14ac:dyDescent="0.3">
      <c r="A16" s="3"/>
      <c r="B16" s="4"/>
      <c r="C16" s="4"/>
      <c r="D16" s="5"/>
      <c r="E16" s="4"/>
      <c r="F16" s="4"/>
      <c r="G16" s="5"/>
    </row>
    <row r="17" spans="1:7" x14ac:dyDescent="0.3">
      <c r="A17" s="3"/>
      <c r="B17" s="4"/>
      <c r="C17" s="4"/>
      <c r="D17" s="5"/>
      <c r="E17" s="4"/>
      <c r="F17" s="4"/>
      <c r="G17" s="5"/>
    </row>
    <row r="18" spans="1:7" x14ac:dyDescent="0.3">
      <c r="A18" s="3"/>
      <c r="B18" s="4"/>
      <c r="C18" s="4"/>
      <c r="D18" s="5"/>
      <c r="E18" s="4"/>
      <c r="F18" s="4"/>
      <c r="G18" s="5"/>
    </row>
    <row r="19" spans="1:7" x14ac:dyDescent="0.3">
      <c r="A19" s="3"/>
      <c r="B19" s="4"/>
      <c r="C19" s="4"/>
      <c r="D19" s="5"/>
      <c r="E19" s="4"/>
      <c r="F19" s="4"/>
      <c r="G19" s="5"/>
    </row>
    <row r="20" spans="1:7" x14ac:dyDescent="0.3">
      <c r="A20" s="3"/>
      <c r="B20" s="4"/>
      <c r="C20" s="4"/>
      <c r="D20" s="5"/>
      <c r="E20" s="4"/>
      <c r="F20" s="4"/>
      <c r="G20" s="5"/>
    </row>
    <row r="21" spans="1:7" x14ac:dyDescent="0.3">
      <c r="A21" s="3"/>
      <c r="B21" s="4"/>
      <c r="C21" s="4"/>
      <c r="D21" s="5"/>
      <c r="E21" s="4"/>
      <c r="F21" s="4"/>
      <c r="G21" s="5"/>
    </row>
    <row r="22" spans="1:7" x14ac:dyDescent="0.3">
      <c r="A22" s="3"/>
      <c r="B22" s="4"/>
      <c r="C22" s="4"/>
      <c r="D22" s="5"/>
      <c r="E22" s="4"/>
      <c r="F22" s="4"/>
      <c r="G22" s="5"/>
    </row>
    <row r="23" spans="1:7" x14ac:dyDescent="0.3">
      <c r="A23" s="3"/>
      <c r="B23" s="4"/>
      <c r="C23" s="4"/>
      <c r="D23" s="5"/>
      <c r="E23" s="4"/>
      <c r="F23" s="4"/>
      <c r="G23" s="5"/>
    </row>
    <row r="24" spans="1:7" x14ac:dyDescent="0.3">
      <c r="A24" s="3"/>
      <c r="B24" s="4"/>
      <c r="C24" s="4"/>
      <c r="D24" s="5"/>
      <c r="E24" s="4"/>
      <c r="F24" s="4"/>
      <c r="G24" s="5"/>
    </row>
    <row r="25" spans="1:7" x14ac:dyDescent="0.3">
      <c r="A25" s="3"/>
      <c r="B25" s="4"/>
      <c r="C25" s="4"/>
      <c r="D25" s="5"/>
      <c r="E25" s="4"/>
      <c r="F25" s="4"/>
      <c r="G25" s="5"/>
    </row>
    <row r="26" spans="1:7" x14ac:dyDescent="0.3">
      <c r="A26" s="3"/>
      <c r="B26" s="4"/>
      <c r="C26" s="4"/>
      <c r="D26" s="5"/>
      <c r="E26" s="4"/>
      <c r="F26" s="4"/>
      <c r="G26" s="5"/>
    </row>
    <row r="27" spans="1:7" x14ac:dyDescent="0.3">
      <c r="A27" s="3"/>
      <c r="B27" s="4"/>
      <c r="C27" s="4"/>
      <c r="D27" s="5"/>
      <c r="E27" s="4"/>
      <c r="F27" s="4"/>
      <c r="G27" s="5"/>
    </row>
    <row r="28" spans="1:7" x14ac:dyDescent="0.3">
      <c r="A28" s="3"/>
      <c r="B28" s="4"/>
      <c r="C28" s="4"/>
      <c r="D28" s="5"/>
      <c r="E28" s="4"/>
      <c r="F28" s="4"/>
      <c r="G28" s="5"/>
    </row>
    <row r="29" spans="1:7" x14ac:dyDescent="0.3">
      <c r="A29" s="3"/>
      <c r="B29" s="4"/>
      <c r="C29" s="4"/>
      <c r="D29" s="5"/>
      <c r="E29" s="4"/>
      <c r="F29" s="4"/>
      <c r="G29" s="5"/>
    </row>
    <row r="30" spans="1:7" x14ac:dyDescent="0.3">
      <c r="A30" s="3"/>
      <c r="B30" s="4"/>
      <c r="C30" s="4"/>
      <c r="D30" s="5"/>
      <c r="E30" s="4"/>
      <c r="F30" s="4"/>
      <c r="G30" s="5"/>
    </row>
    <row r="31" spans="1:7" x14ac:dyDescent="0.3">
      <c r="A31" s="3"/>
      <c r="B31" s="4"/>
      <c r="C31" s="4"/>
      <c r="D31" s="5"/>
      <c r="E31" s="4"/>
      <c r="F31" s="4"/>
      <c r="G31" s="5"/>
    </row>
    <row r="32" spans="1:7" x14ac:dyDescent="0.3">
      <c r="A32" s="3"/>
      <c r="B32" s="4"/>
      <c r="C32" s="4"/>
      <c r="D32" s="5"/>
      <c r="E32" s="4"/>
      <c r="F32" s="4"/>
      <c r="G32" s="5"/>
    </row>
    <row r="33" spans="1:7" x14ac:dyDescent="0.3">
      <c r="A33" s="3"/>
      <c r="B33" s="4"/>
      <c r="C33" s="4"/>
      <c r="D33" s="5"/>
      <c r="E33" s="4"/>
      <c r="F33" s="4"/>
      <c r="G33" s="5"/>
    </row>
    <row r="34" spans="1:7" x14ac:dyDescent="0.3">
      <c r="A34" s="3"/>
      <c r="B34" s="4"/>
      <c r="C34" s="4"/>
      <c r="D34" s="5"/>
      <c r="E34" s="4"/>
      <c r="F34" s="4"/>
      <c r="G34" s="5"/>
    </row>
    <row r="35" spans="1:7" x14ac:dyDescent="0.3">
      <c r="A35" s="3"/>
      <c r="B35" s="4"/>
      <c r="C35" s="4"/>
      <c r="D35" s="5"/>
      <c r="E35" s="4"/>
      <c r="F35" s="4"/>
      <c r="G35" s="5"/>
    </row>
    <row r="36" spans="1:7" x14ac:dyDescent="0.3">
      <c r="A36" s="3"/>
      <c r="B36" s="4"/>
      <c r="C36" s="4"/>
      <c r="D36" s="5"/>
      <c r="E36" s="4"/>
      <c r="F36" s="4"/>
      <c r="G36" s="5"/>
    </row>
    <row r="37" spans="1:7" x14ac:dyDescent="0.3">
      <c r="A37" s="3"/>
      <c r="B37" s="4"/>
      <c r="C37" s="4"/>
      <c r="D37" s="5"/>
      <c r="E37" s="4"/>
      <c r="F37" s="4"/>
      <c r="G37" s="5"/>
    </row>
    <row r="38" spans="1:7" x14ac:dyDescent="0.3">
      <c r="A38" s="3"/>
      <c r="B38" s="4"/>
      <c r="C38" s="4"/>
      <c r="D38" s="5"/>
      <c r="E38" s="4"/>
      <c r="F38" s="4"/>
      <c r="G38" s="5"/>
    </row>
    <row r="39" spans="1:7" x14ac:dyDescent="0.3">
      <c r="A39" s="3"/>
      <c r="B39" s="4"/>
      <c r="C39" s="4"/>
      <c r="D39" s="5"/>
      <c r="E39" s="4"/>
      <c r="F39" s="4"/>
      <c r="G39" s="5"/>
    </row>
    <row r="40" spans="1:7" x14ac:dyDescent="0.3">
      <c r="A40" s="3"/>
      <c r="B40" s="4"/>
      <c r="C40" s="4"/>
      <c r="D40" s="5"/>
      <c r="E40" s="4"/>
      <c r="F40" s="4"/>
      <c r="G40" s="5"/>
    </row>
    <row r="41" spans="1:7" x14ac:dyDescent="0.3">
      <c r="A41" s="3"/>
      <c r="B41" s="4"/>
      <c r="C41" s="4"/>
      <c r="D41" s="5"/>
      <c r="E41" s="4"/>
      <c r="F41" s="4"/>
      <c r="G41" s="5"/>
    </row>
    <row r="42" spans="1:7" x14ac:dyDescent="0.3">
      <c r="A42" s="3"/>
      <c r="B42" s="4"/>
      <c r="C42" s="4"/>
      <c r="D42" s="5"/>
      <c r="E42" s="4"/>
      <c r="F42" s="4"/>
      <c r="G42" s="5"/>
    </row>
    <row r="43" spans="1:7" x14ac:dyDescent="0.3">
      <c r="A43" s="3"/>
      <c r="B43" s="4"/>
      <c r="C43" s="4"/>
      <c r="D43" s="5"/>
      <c r="E43" s="4"/>
      <c r="F43" s="4"/>
      <c r="G43" s="5"/>
    </row>
    <row r="44" spans="1:7" x14ac:dyDescent="0.3">
      <c r="A44" s="3"/>
      <c r="B44" s="4"/>
      <c r="C44" s="4"/>
      <c r="D44" s="5"/>
      <c r="E44" s="4"/>
      <c r="F44" s="4"/>
      <c r="G44" s="5"/>
    </row>
    <row r="45" spans="1:7" x14ac:dyDescent="0.3">
      <c r="A45" s="3"/>
      <c r="B45" s="4"/>
      <c r="C45" s="4"/>
      <c r="D45" s="5"/>
      <c r="E45" s="4"/>
      <c r="F45" s="4"/>
      <c r="G45" s="5"/>
    </row>
    <row r="46" spans="1:7" x14ac:dyDescent="0.3">
      <c r="A46" s="3"/>
      <c r="B46" s="4"/>
      <c r="C46" s="4"/>
      <c r="D46" s="5"/>
      <c r="E46" s="4"/>
      <c r="F46" s="4"/>
      <c r="G46" s="5"/>
    </row>
    <row r="47" spans="1:7" x14ac:dyDescent="0.3">
      <c r="A47" s="3"/>
      <c r="B47" s="4"/>
      <c r="C47" s="4"/>
      <c r="D47" s="5"/>
      <c r="E47" s="4"/>
      <c r="F47" s="4"/>
      <c r="G47" s="5"/>
    </row>
    <row r="48" spans="1:7" x14ac:dyDescent="0.3">
      <c r="A48" s="3"/>
      <c r="B48" s="4"/>
      <c r="C48" s="4"/>
      <c r="D48" s="5"/>
      <c r="E48" s="4"/>
      <c r="F48" s="4"/>
      <c r="G48" s="5"/>
    </row>
    <row r="49" spans="1:7" x14ac:dyDescent="0.3">
      <c r="A49" s="3"/>
      <c r="B49" s="4"/>
      <c r="C49" s="4"/>
      <c r="D49" s="5"/>
      <c r="E49" s="4"/>
      <c r="F49" s="4"/>
      <c r="G49" s="5"/>
    </row>
    <row r="50" spans="1:7" x14ac:dyDescent="0.3">
      <c r="A50" s="3"/>
      <c r="B50" s="4"/>
      <c r="C50" s="4"/>
      <c r="D50" s="5"/>
      <c r="E50" s="4"/>
      <c r="F50" s="4"/>
      <c r="G50" s="5"/>
    </row>
    <row r="51" spans="1:7" x14ac:dyDescent="0.3">
      <c r="A51" s="3"/>
      <c r="B51" s="4"/>
      <c r="C51" s="4"/>
      <c r="D51" s="5"/>
      <c r="E51" s="4"/>
      <c r="F51" s="4"/>
      <c r="G51" s="5"/>
    </row>
  </sheetData>
  <sheetProtection algorithmName="SHA-512" hashValue="qSodlaSpOkDI+H9oaHO0G0PtDaKkoJ1lF1P0KYEIXH4Pnro4SiVAd9FXegvNhtCsJBgdxbORD1Jsdfx94nN4VQ==" saltValue="pWuf53qv+npp+DkCobngxQ==" spinCount="100000" sheet="1" objects="1" scenarios="1" selectLockedCells="1" sort="0" autoFilter="0"/>
  <dataValidations xWindow="576" yWindow="392" count="4">
    <dataValidation type="date" allowBlank="1" showInputMessage="1" showErrorMessage="1" errorTitle="Fecha inválida" error="Ingresa una fecha entre 01/01/2000 y 31/12/2100." promptTitle="Fecha" prompt="Formato dd/mm/aaaa" sqref="A2:A51" xr:uid="{C9D33B3B-195F-44CC-830E-C5E7FBFCB1BB}">
      <formula1>DATE(2000,1,1)</formula1>
      <formula2>DATE(2100,12,31)</formula2>
    </dataValidation>
    <dataValidation type="list" allowBlank="1" showInputMessage="1" showErrorMessage="1" errorTitle="Departamento" error="Selecciona un departamento de la lista." sqref="B2:B51" xr:uid="{6727BC22-CF47-4E55-9CBF-788AED0D6417}">
      <formula1>Departamentos</formula1>
    </dataValidation>
    <dataValidation type="list" allowBlank="1" showInputMessage="1" showErrorMessage="1" sqref="E2:E51" xr:uid="{970E59F7-59A3-45CB-BFAB-D5A76ADD2F72}">
      <formula1>RegionOCAD</formula1>
    </dataValidation>
    <dataValidation type="list" allowBlank="1" showInputMessage="1" showErrorMessage="1" sqref="F2:F51" xr:uid="{05CE5FFC-5922-4B9B-8FFF-90C49F907057}">
      <formula1>FuenteInfo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xWindow="576" yWindow="392" count="1">
        <x14:dataValidation type="list" allowBlank="1" showInputMessage="1" showErrorMessage="1" errorTitle="Ciudad inválida" error="Selecciona primero un departamento, luego una ciudad de la lista filtrada." promptTitle="Ciudad" prompt="Lista filtrada según el Departamento." xr:uid="{A46E6B36-2381-4A50-9187-68258B05AE7F}">
          <x14:formula1>
            <xm:f>INDIRECT(VLOOKUP($B2,Variables!$A$2:$O$34,15,FALSE))</xm:f>
          </x14:formula1>
          <xm:sqref>C2:C51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493A-F19C-4AFE-B91B-168DAAC01423}">
  <sheetPr codeName="Hoja2">
    <tabColor theme="7" tint="-0.499984740745262"/>
  </sheetPr>
  <dimension ref="A1:BA51"/>
  <sheetViews>
    <sheetView workbookViewId="0">
      <pane ySplit="1" topLeftCell="A2" activePane="bottomLeft" state="frozen"/>
      <selection activeCell="C1" sqref="C1"/>
      <selection pane="bottomLeft" activeCell="L2" sqref="L2"/>
    </sheetView>
  </sheetViews>
  <sheetFormatPr baseColWidth="10" defaultColWidth="0" defaultRowHeight="13.2" zeroHeight="1" x14ac:dyDescent="0.3"/>
  <cols>
    <col min="1" max="1" width="24.88671875" style="2" customWidth="1"/>
    <col min="2" max="2" width="41.88671875" style="2" customWidth="1"/>
    <col min="3" max="6" width="27.77734375" style="2" customWidth="1"/>
    <col min="7" max="7" width="33.44140625" style="2" customWidth="1"/>
    <col min="8" max="8" width="28.6640625" style="2" customWidth="1"/>
    <col min="9" max="9" width="31.77734375" style="2" customWidth="1"/>
    <col min="10" max="10" width="28.5546875" style="2" customWidth="1"/>
    <col min="11" max="11" width="25.88671875" style="2" customWidth="1"/>
    <col min="12" max="12" width="31.6640625" style="2" customWidth="1"/>
    <col min="13" max="13" width="35" style="2" customWidth="1"/>
    <col min="14" max="14" width="44.33203125" style="2" customWidth="1"/>
    <col min="15" max="53" width="11.88671875" style="2" hidden="1" customWidth="1"/>
    <col min="54" max="16384" width="11.5546875" style="2" hidden="1"/>
  </cols>
  <sheetData>
    <row r="1" spans="1:14" ht="55.05" customHeight="1" x14ac:dyDescent="0.3">
      <c r="A1" s="11" t="s">
        <v>107</v>
      </c>
      <c r="B1" s="11" t="s">
        <v>111</v>
      </c>
      <c r="C1" s="11" t="s">
        <v>112</v>
      </c>
      <c r="D1" s="11" t="s">
        <v>113</v>
      </c>
      <c r="E1" s="11" t="s">
        <v>114</v>
      </c>
      <c r="F1" s="11" t="s">
        <v>115</v>
      </c>
      <c r="G1" s="11" t="s">
        <v>116</v>
      </c>
      <c r="H1" s="11" t="s">
        <v>117</v>
      </c>
      <c r="I1" s="11" t="s">
        <v>118</v>
      </c>
      <c r="J1" s="11" t="s">
        <v>119</v>
      </c>
      <c r="K1" s="11" t="s">
        <v>1364</v>
      </c>
      <c r="L1" s="11" t="s">
        <v>120</v>
      </c>
      <c r="M1" s="11" t="s">
        <v>121</v>
      </c>
      <c r="N1" s="11" t="s">
        <v>110</v>
      </c>
    </row>
    <row r="2" spans="1:14" x14ac:dyDescent="0.3">
      <c r="A2" s="12" t="str">
        <f>IF(Identificación!$B2="","",Identificación!$B2)</f>
        <v/>
      </c>
      <c r="B2" s="4"/>
      <c r="C2" s="4"/>
      <c r="D2" s="4"/>
      <c r="E2" s="4"/>
      <c r="F2" s="4"/>
      <c r="G2" s="4"/>
      <c r="H2" s="4"/>
      <c r="I2" s="4"/>
      <c r="J2" s="4"/>
      <c r="K2" s="1"/>
      <c r="L2" s="4"/>
      <c r="M2" s="4"/>
      <c r="N2" s="4"/>
    </row>
    <row r="3" spans="1:14" x14ac:dyDescent="0.3">
      <c r="A3" s="12" t="str">
        <f>IF(Identificación!$B3="","",Identificación!$B3)</f>
        <v/>
      </c>
      <c r="B3" s="4"/>
      <c r="C3" s="4"/>
      <c r="D3" s="4"/>
      <c r="E3" s="4"/>
      <c r="F3" s="4"/>
      <c r="G3" s="4"/>
      <c r="H3" s="4"/>
      <c r="I3" s="4"/>
      <c r="J3" s="4"/>
      <c r="K3" s="1"/>
      <c r="L3" s="4"/>
      <c r="M3" s="4"/>
      <c r="N3" s="4"/>
    </row>
    <row r="4" spans="1:14" x14ac:dyDescent="0.3">
      <c r="A4" s="12" t="str">
        <f>IF(Identificación!$B4="","",Identificación!$B4)</f>
        <v/>
      </c>
      <c r="B4" s="4"/>
      <c r="C4" s="4"/>
      <c r="D4" s="4"/>
      <c r="E4" s="4"/>
      <c r="F4" s="4"/>
      <c r="G4" s="4"/>
      <c r="H4" s="4"/>
      <c r="I4" s="4"/>
      <c r="J4" s="4"/>
      <c r="K4" s="1"/>
      <c r="L4" s="4"/>
      <c r="M4" s="4"/>
      <c r="N4" s="4"/>
    </row>
    <row r="5" spans="1:14" x14ac:dyDescent="0.3">
      <c r="A5" s="12" t="str">
        <f>IF(Identificación!$B5="","",Identificación!$B5)</f>
        <v/>
      </c>
      <c r="B5" s="4"/>
      <c r="C5" s="4"/>
      <c r="D5" s="4"/>
      <c r="E5" s="4"/>
      <c r="F5" s="4"/>
      <c r="G5" s="4"/>
      <c r="H5" s="4"/>
      <c r="I5" s="4"/>
      <c r="J5" s="4"/>
      <c r="K5" s="1"/>
      <c r="L5" s="4"/>
      <c r="M5" s="4"/>
      <c r="N5" s="4"/>
    </row>
    <row r="6" spans="1:14" x14ac:dyDescent="0.3">
      <c r="A6" s="12" t="str">
        <f>IF(Identificación!$B6="","",Identificación!$B6)</f>
        <v/>
      </c>
      <c r="B6" s="4"/>
      <c r="C6" s="4"/>
      <c r="D6" s="4"/>
      <c r="E6" s="4"/>
      <c r="F6" s="4"/>
      <c r="G6" s="4"/>
      <c r="H6" s="4"/>
      <c r="I6" s="4"/>
      <c r="J6" s="4"/>
      <c r="K6" s="1"/>
      <c r="L6" s="4"/>
      <c r="M6" s="4"/>
      <c r="N6" s="4"/>
    </row>
    <row r="7" spans="1:14" x14ac:dyDescent="0.3">
      <c r="A7" s="12" t="str">
        <f>IF(Identificación!$B7="","",Identificación!$B7)</f>
        <v/>
      </c>
      <c r="B7" s="4"/>
      <c r="C7" s="4"/>
      <c r="D7" s="4"/>
      <c r="E7" s="4"/>
      <c r="F7" s="4"/>
      <c r="G7" s="4"/>
      <c r="H7" s="4"/>
      <c r="I7" s="4"/>
      <c r="J7" s="4"/>
      <c r="K7" s="1"/>
      <c r="L7" s="4"/>
      <c r="M7" s="4"/>
      <c r="N7" s="4"/>
    </row>
    <row r="8" spans="1:14" x14ac:dyDescent="0.3">
      <c r="A8" s="12" t="str">
        <f>IF(Identificación!$B8="","",Identificación!$B8)</f>
        <v/>
      </c>
      <c r="B8" s="4"/>
      <c r="C8" s="4"/>
      <c r="D8" s="4"/>
      <c r="E8" s="4"/>
      <c r="F8" s="4"/>
      <c r="G8" s="4"/>
      <c r="H8" s="4"/>
      <c r="I8" s="4"/>
      <c r="J8" s="4"/>
      <c r="K8" s="1"/>
      <c r="L8" s="4"/>
      <c r="M8" s="4"/>
      <c r="N8" s="4"/>
    </row>
    <row r="9" spans="1:14" x14ac:dyDescent="0.3">
      <c r="A9" s="12" t="str">
        <f>IF(Identificación!$B9="","",Identificación!$B9)</f>
        <v/>
      </c>
      <c r="B9" s="4"/>
      <c r="C9" s="4"/>
      <c r="D9" s="4"/>
      <c r="E9" s="4"/>
      <c r="F9" s="4"/>
      <c r="G9" s="4"/>
      <c r="H9" s="4"/>
      <c r="I9" s="4"/>
      <c r="J9" s="4"/>
      <c r="K9" s="1"/>
      <c r="L9" s="4"/>
      <c r="M9" s="4"/>
      <c r="N9" s="4"/>
    </row>
    <row r="10" spans="1:14" x14ac:dyDescent="0.3">
      <c r="A10" s="12" t="str">
        <f>IF(Identificación!$B10="","",Identificación!$B10)</f>
        <v/>
      </c>
      <c r="B10" s="4"/>
      <c r="C10" s="4"/>
      <c r="D10" s="4"/>
      <c r="E10" s="4"/>
      <c r="F10" s="4"/>
      <c r="G10" s="4"/>
      <c r="H10" s="4"/>
      <c r="I10" s="4"/>
      <c r="J10" s="4"/>
      <c r="K10" s="1"/>
      <c r="L10" s="4"/>
      <c r="M10" s="4"/>
      <c r="N10" s="4"/>
    </row>
    <row r="11" spans="1:14" x14ac:dyDescent="0.3">
      <c r="A11" s="12" t="str">
        <f>IF(Identificación!$B11="","",Identificación!$B11)</f>
        <v/>
      </c>
      <c r="B11" s="4"/>
      <c r="C11" s="4"/>
      <c r="D11" s="4"/>
      <c r="E11" s="4"/>
      <c r="F11" s="4"/>
      <c r="G11" s="4"/>
      <c r="H11" s="4"/>
      <c r="I11" s="4"/>
      <c r="J11" s="4"/>
      <c r="K11" s="1"/>
      <c r="L11" s="4"/>
      <c r="M11" s="4"/>
      <c r="N11" s="4"/>
    </row>
    <row r="12" spans="1:14" x14ac:dyDescent="0.3">
      <c r="A12" s="12" t="str">
        <f>IF(Identificación!$B12="","",Identificación!$B12)</f>
        <v/>
      </c>
      <c r="B12" s="4"/>
      <c r="C12" s="4"/>
      <c r="D12" s="4"/>
      <c r="E12" s="4"/>
      <c r="F12" s="4"/>
      <c r="G12" s="4"/>
      <c r="H12" s="4"/>
      <c r="I12" s="4"/>
      <c r="J12" s="4"/>
      <c r="K12" s="1"/>
      <c r="L12" s="4"/>
      <c r="M12" s="4"/>
      <c r="N12" s="4"/>
    </row>
    <row r="13" spans="1:14" x14ac:dyDescent="0.3">
      <c r="A13" s="12" t="str">
        <f>IF(Identificación!$B13="","",Identificación!$B13)</f>
        <v/>
      </c>
      <c r="B13" s="4"/>
      <c r="C13" s="4"/>
      <c r="D13" s="4"/>
      <c r="E13" s="4"/>
      <c r="F13" s="4"/>
      <c r="G13" s="4"/>
      <c r="H13" s="4"/>
      <c r="I13" s="4"/>
      <c r="J13" s="4"/>
      <c r="K13" s="1"/>
      <c r="L13" s="4"/>
      <c r="M13" s="4"/>
      <c r="N13" s="4"/>
    </row>
    <row r="14" spans="1:14" x14ac:dyDescent="0.3">
      <c r="A14" s="12" t="str">
        <f>IF(Identificación!$B14="","",Identificación!$B14)</f>
        <v/>
      </c>
      <c r="B14" s="4"/>
      <c r="C14" s="4"/>
      <c r="D14" s="4"/>
      <c r="E14" s="4"/>
      <c r="F14" s="4"/>
      <c r="G14" s="4"/>
      <c r="H14" s="4"/>
      <c r="I14" s="4"/>
      <c r="J14" s="4"/>
      <c r="K14" s="1"/>
      <c r="L14" s="4"/>
      <c r="M14" s="4"/>
      <c r="N14" s="4"/>
    </row>
    <row r="15" spans="1:14" x14ac:dyDescent="0.3">
      <c r="A15" s="12" t="str">
        <f>IF(Identificación!$B15="","",Identificación!$B15)</f>
        <v/>
      </c>
      <c r="B15" s="4"/>
      <c r="C15" s="4"/>
      <c r="D15" s="4"/>
      <c r="E15" s="4"/>
      <c r="F15" s="4"/>
      <c r="G15" s="4"/>
      <c r="H15" s="4"/>
      <c r="I15" s="4"/>
      <c r="J15" s="4"/>
      <c r="K15" s="1"/>
      <c r="L15" s="4"/>
      <c r="M15" s="4"/>
      <c r="N15" s="4"/>
    </row>
    <row r="16" spans="1:14" x14ac:dyDescent="0.3">
      <c r="A16" s="12" t="str">
        <f>IF(Identificación!$B16="","",Identificación!$B16)</f>
        <v/>
      </c>
      <c r="B16" s="4"/>
      <c r="C16" s="4"/>
      <c r="D16" s="4"/>
      <c r="E16" s="4"/>
      <c r="F16" s="4"/>
      <c r="G16" s="4"/>
      <c r="H16" s="4"/>
      <c r="I16" s="4"/>
      <c r="J16" s="4"/>
      <c r="K16" s="1"/>
      <c r="L16" s="4"/>
      <c r="M16" s="4"/>
      <c r="N16" s="4"/>
    </row>
    <row r="17" spans="1:14" x14ac:dyDescent="0.3">
      <c r="A17" s="12" t="str">
        <f>IF(Identificación!$B17="","",Identificación!$B17)</f>
        <v/>
      </c>
      <c r="B17" s="4"/>
      <c r="C17" s="4"/>
      <c r="D17" s="4"/>
      <c r="E17" s="4"/>
      <c r="F17" s="4"/>
      <c r="G17" s="4"/>
      <c r="H17" s="4"/>
      <c r="I17" s="4"/>
      <c r="J17" s="4"/>
      <c r="K17" s="1"/>
      <c r="L17" s="4"/>
      <c r="M17" s="4"/>
      <c r="N17" s="4"/>
    </row>
    <row r="18" spans="1:14" x14ac:dyDescent="0.3">
      <c r="A18" s="12" t="str">
        <f>IF(Identificación!$B18="","",Identificación!$B18)</f>
        <v/>
      </c>
      <c r="B18" s="4"/>
      <c r="C18" s="4"/>
      <c r="D18" s="4"/>
      <c r="E18" s="4"/>
      <c r="F18" s="4"/>
      <c r="G18" s="4"/>
      <c r="H18" s="4"/>
      <c r="I18" s="4"/>
      <c r="J18" s="4"/>
      <c r="K18" s="1"/>
      <c r="L18" s="4"/>
      <c r="M18" s="4"/>
      <c r="N18" s="4"/>
    </row>
    <row r="19" spans="1:14" x14ac:dyDescent="0.3">
      <c r="A19" s="12" t="str">
        <f>IF(Identificación!$B19="","",Identificación!$B19)</f>
        <v/>
      </c>
      <c r="B19" s="4"/>
      <c r="C19" s="4"/>
      <c r="D19" s="4"/>
      <c r="E19" s="4"/>
      <c r="F19" s="4"/>
      <c r="G19" s="4"/>
      <c r="H19" s="4"/>
      <c r="I19" s="4"/>
      <c r="J19" s="4"/>
      <c r="K19" s="1"/>
      <c r="L19" s="4"/>
      <c r="M19" s="4"/>
      <c r="N19" s="4"/>
    </row>
    <row r="20" spans="1:14" x14ac:dyDescent="0.3">
      <c r="A20" s="12" t="str">
        <f>IF(Identificación!$B20="","",Identificación!$B20)</f>
        <v/>
      </c>
      <c r="B20" s="4"/>
      <c r="C20" s="4"/>
      <c r="D20" s="4"/>
      <c r="E20" s="4"/>
      <c r="F20" s="4"/>
      <c r="G20" s="4"/>
      <c r="H20" s="4"/>
      <c r="I20" s="4"/>
      <c r="J20" s="4"/>
      <c r="K20" s="1"/>
      <c r="L20" s="4"/>
      <c r="M20" s="4"/>
      <c r="N20" s="4"/>
    </row>
    <row r="21" spans="1:14" x14ac:dyDescent="0.3">
      <c r="A21" s="12" t="str">
        <f>IF(Identificación!$B21="","",Identificación!$B21)</f>
        <v/>
      </c>
      <c r="B21" s="4"/>
      <c r="C21" s="4"/>
      <c r="D21" s="4"/>
      <c r="E21" s="4"/>
      <c r="F21" s="4"/>
      <c r="G21" s="4"/>
      <c r="H21" s="4"/>
      <c r="I21" s="4"/>
      <c r="J21" s="4"/>
      <c r="K21" s="1"/>
      <c r="L21" s="4"/>
      <c r="M21" s="4"/>
      <c r="N21" s="4"/>
    </row>
    <row r="22" spans="1:14" x14ac:dyDescent="0.3">
      <c r="A22" s="12" t="str">
        <f>IF(Identificación!$B22="","",Identificación!$B22)</f>
        <v/>
      </c>
      <c r="B22" s="4"/>
      <c r="C22" s="4"/>
      <c r="D22" s="4"/>
      <c r="E22" s="4"/>
      <c r="F22" s="4"/>
      <c r="G22" s="4"/>
      <c r="H22" s="4"/>
      <c r="I22" s="4"/>
      <c r="J22" s="4"/>
      <c r="K22" s="1"/>
      <c r="L22" s="4"/>
      <c r="M22" s="4"/>
      <c r="N22" s="4"/>
    </row>
    <row r="23" spans="1:14" x14ac:dyDescent="0.3">
      <c r="A23" s="12" t="str">
        <f>IF(Identificación!$B23="","",Identificación!$B23)</f>
        <v/>
      </c>
      <c r="B23" s="4"/>
      <c r="C23" s="4"/>
      <c r="D23" s="4"/>
      <c r="E23" s="4"/>
      <c r="F23" s="4"/>
      <c r="G23" s="4"/>
      <c r="H23" s="4"/>
      <c r="I23" s="4"/>
      <c r="J23" s="4"/>
      <c r="K23" s="1"/>
      <c r="L23" s="4"/>
      <c r="M23" s="4"/>
      <c r="N23" s="4"/>
    </row>
    <row r="24" spans="1:14" x14ac:dyDescent="0.3">
      <c r="A24" s="12" t="str">
        <f>IF(Identificación!$B24="","",Identificación!$B24)</f>
        <v/>
      </c>
      <c r="B24" s="4"/>
      <c r="C24" s="4"/>
      <c r="D24" s="4"/>
      <c r="E24" s="4"/>
      <c r="F24" s="4"/>
      <c r="G24" s="4"/>
      <c r="H24" s="4"/>
      <c r="I24" s="4"/>
      <c r="J24" s="4"/>
      <c r="K24" s="1"/>
      <c r="L24" s="4"/>
      <c r="M24" s="4"/>
      <c r="N24" s="4"/>
    </row>
    <row r="25" spans="1:14" x14ac:dyDescent="0.3">
      <c r="A25" s="12" t="str">
        <f>IF(Identificación!$B25="","",Identificación!$B25)</f>
        <v/>
      </c>
      <c r="B25" s="4"/>
      <c r="C25" s="4"/>
      <c r="D25" s="4"/>
      <c r="E25" s="4"/>
      <c r="F25" s="4"/>
      <c r="G25" s="4"/>
      <c r="H25" s="4"/>
      <c r="I25" s="4"/>
      <c r="J25" s="4"/>
      <c r="K25" s="1"/>
      <c r="L25" s="4"/>
      <c r="M25" s="4"/>
      <c r="N25" s="4"/>
    </row>
    <row r="26" spans="1:14" x14ac:dyDescent="0.3">
      <c r="A26" s="12" t="str">
        <f>IF(Identificación!$B26="","",Identificación!$B26)</f>
        <v/>
      </c>
      <c r="B26" s="4"/>
      <c r="C26" s="4"/>
      <c r="D26" s="4"/>
      <c r="E26" s="4"/>
      <c r="F26" s="4"/>
      <c r="G26" s="4"/>
      <c r="H26" s="4"/>
      <c r="I26" s="4"/>
      <c r="J26" s="4"/>
      <c r="K26" s="1"/>
      <c r="L26" s="4"/>
      <c r="M26" s="4"/>
      <c r="N26" s="4"/>
    </row>
    <row r="27" spans="1:14" x14ac:dyDescent="0.3">
      <c r="A27" s="12" t="str">
        <f>IF(Identificación!$B27="","",Identificación!$B27)</f>
        <v/>
      </c>
      <c r="B27" s="4"/>
      <c r="C27" s="4"/>
      <c r="D27" s="4"/>
      <c r="E27" s="4"/>
      <c r="F27" s="4"/>
      <c r="G27" s="4"/>
      <c r="H27" s="4"/>
      <c r="I27" s="4"/>
      <c r="J27" s="4"/>
      <c r="K27" s="1"/>
      <c r="L27" s="4"/>
      <c r="M27" s="4"/>
      <c r="N27" s="4"/>
    </row>
    <row r="28" spans="1:14" x14ac:dyDescent="0.3">
      <c r="A28" s="12" t="str">
        <f>IF(Identificación!$B28="","",Identificación!$B28)</f>
        <v/>
      </c>
      <c r="B28" s="4"/>
      <c r="C28" s="4"/>
      <c r="D28" s="4"/>
      <c r="E28" s="4"/>
      <c r="F28" s="4"/>
      <c r="G28" s="4"/>
      <c r="H28" s="4"/>
      <c r="I28" s="4"/>
      <c r="J28" s="4"/>
      <c r="K28" s="1"/>
      <c r="L28" s="4"/>
      <c r="M28" s="4"/>
      <c r="N28" s="4"/>
    </row>
    <row r="29" spans="1:14" x14ac:dyDescent="0.3">
      <c r="A29" s="12" t="str">
        <f>IF(Identificación!$B29="","",Identificación!$B29)</f>
        <v/>
      </c>
      <c r="B29" s="4"/>
      <c r="C29" s="4"/>
      <c r="D29" s="4"/>
      <c r="E29" s="4"/>
      <c r="F29" s="4"/>
      <c r="G29" s="4"/>
      <c r="H29" s="4"/>
      <c r="I29" s="4"/>
      <c r="J29" s="4"/>
      <c r="K29" s="1"/>
      <c r="L29" s="4"/>
      <c r="M29" s="4"/>
      <c r="N29" s="4"/>
    </row>
    <row r="30" spans="1:14" x14ac:dyDescent="0.3">
      <c r="A30" s="12" t="str">
        <f>IF(Identificación!$B30="","",Identificación!$B30)</f>
        <v/>
      </c>
      <c r="B30" s="4"/>
      <c r="C30" s="4"/>
      <c r="D30" s="4"/>
      <c r="E30" s="4"/>
      <c r="F30" s="4"/>
      <c r="G30" s="4"/>
      <c r="H30" s="4"/>
      <c r="I30" s="4"/>
      <c r="J30" s="4"/>
      <c r="K30" s="1"/>
      <c r="L30" s="4"/>
      <c r="M30" s="4"/>
      <c r="N30" s="4"/>
    </row>
    <row r="31" spans="1:14" x14ac:dyDescent="0.3">
      <c r="A31" s="12" t="str">
        <f>IF(Identificación!$B31="","",Identificación!$B31)</f>
        <v/>
      </c>
      <c r="B31" s="4"/>
      <c r="C31" s="4"/>
      <c r="D31" s="4"/>
      <c r="E31" s="4"/>
      <c r="F31" s="4"/>
      <c r="G31" s="4"/>
      <c r="H31" s="4"/>
      <c r="I31" s="4"/>
      <c r="J31" s="4"/>
      <c r="K31" s="1"/>
      <c r="L31" s="4"/>
      <c r="M31" s="4"/>
      <c r="N31" s="4"/>
    </row>
    <row r="32" spans="1:14" x14ac:dyDescent="0.3">
      <c r="A32" s="12" t="str">
        <f>IF(Identificación!$B32="","",Identificación!$B32)</f>
        <v/>
      </c>
      <c r="B32" s="4"/>
      <c r="C32" s="4"/>
      <c r="D32" s="4"/>
      <c r="E32" s="4"/>
      <c r="F32" s="4"/>
      <c r="G32" s="4"/>
      <c r="H32" s="4"/>
      <c r="I32" s="4"/>
      <c r="J32" s="4"/>
      <c r="K32" s="1"/>
      <c r="L32" s="4"/>
      <c r="M32" s="4"/>
      <c r="N32" s="4"/>
    </row>
    <row r="33" spans="1:14" x14ac:dyDescent="0.3">
      <c r="A33" s="12" t="str">
        <f>IF(Identificación!$B33="","",Identificación!$B33)</f>
        <v/>
      </c>
      <c r="B33" s="4"/>
      <c r="C33" s="4"/>
      <c r="D33" s="4"/>
      <c r="E33" s="4"/>
      <c r="F33" s="4"/>
      <c r="G33" s="4"/>
      <c r="H33" s="4"/>
      <c r="I33" s="4"/>
      <c r="J33" s="4"/>
      <c r="K33" s="1"/>
      <c r="L33" s="4"/>
      <c r="M33" s="4"/>
      <c r="N33" s="4"/>
    </row>
    <row r="34" spans="1:14" x14ac:dyDescent="0.3">
      <c r="A34" s="12" t="str">
        <f>IF(Identificación!$B34="","",Identificación!$B34)</f>
        <v/>
      </c>
      <c r="B34" s="4"/>
      <c r="C34" s="4"/>
      <c r="D34" s="4"/>
      <c r="E34" s="4"/>
      <c r="F34" s="4"/>
      <c r="G34" s="4"/>
      <c r="H34" s="4"/>
      <c r="I34" s="4"/>
      <c r="J34" s="4"/>
      <c r="K34" s="1"/>
      <c r="L34" s="4"/>
      <c r="M34" s="4"/>
      <c r="N34" s="4"/>
    </row>
    <row r="35" spans="1:14" x14ac:dyDescent="0.3">
      <c r="A35" s="12" t="str">
        <f>IF(Identificación!$B35="","",Identificación!$B35)</f>
        <v/>
      </c>
      <c r="B35" s="4"/>
      <c r="C35" s="4"/>
      <c r="D35" s="4"/>
      <c r="E35" s="4"/>
      <c r="F35" s="4"/>
      <c r="G35" s="4"/>
      <c r="H35" s="4"/>
      <c r="I35" s="4"/>
      <c r="J35" s="4"/>
      <c r="K35" s="1"/>
      <c r="L35" s="4"/>
      <c r="M35" s="4"/>
      <c r="N35" s="4"/>
    </row>
    <row r="36" spans="1:14" x14ac:dyDescent="0.3">
      <c r="A36" s="12" t="str">
        <f>IF(Identificación!$B36="","",Identificación!$B36)</f>
        <v/>
      </c>
      <c r="B36" s="4"/>
      <c r="C36" s="4"/>
      <c r="D36" s="4"/>
      <c r="E36" s="4"/>
      <c r="F36" s="4"/>
      <c r="G36" s="4"/>
      <c r="H36" s="4"/>
      <c r="I36" s="4"/>
      <c r="J36" s="4"/>
      <c r="K36" s="1"/>
      <c r="L36" s="4"/>
      <c r="M36" s="4"/>
      <c r="N36" s="4"/>
    </row>
    <row r="37" spans="1:14" x14ac:dyDescent="0.3">
      <c r="A37" s="12" t="str">
        <f>IF(Identificación!$B37="","",Identificación!$B37)</f>
        <v/>
      </c>
      <c r="B37" s="4"/>
      <c r="C37" s="4"/>
      <c r="D37" s="4"/>
      <c r="E37" s="4"/>
      <c r="F37" s="4"/>
      <c r="G37" s="4"/>
      <c r="H37" s="4"/>
      <c r="I37" s="4"/>
      <c r="J37" s="4"/>
      <c r="K37" s="1"/>
      <c r="L37" s="4"/>
      <c r="M37" s="4"/>
      <c r="N37" s="4"/>
    </row>
    <row r="38" spans="1:14" x14ac:dyDescent="0.3">
      <c r="A38" s="12" t="str">
        <f>IF(Identificación!$B38="","",Identificación!$B38)</f>
        <v/>
      </c>
      <c r="B38" s="4"/>
      <c r="C38" s="4"/>
      <c r="D38" s="4"/>
      <c r="E38" s="4"/>
      <c r="F38" s="4"/>
      <c r="G38" s="4"/>
      <c r="H38" s="4"/>
      <c r="I38" s="4"/>
      <c r="J38" s="4"/>
      <c r="K38" s="1"/>
      <c r="L38" s="4"/>
      <c r="M38" s="4"/>
      <c r="N38" s="4"/>
    </row>
    <row r="39" spans="1:14" x14ac:dyDescent="0.3">
      <c r="A39" s="12" t="str">
        <f>IF(Identificación!$B39="","",Identificación!$B39)</f>
        <v/>
      </c>
      <c r="B39" s="4"/>
      <c r="C39" s="4"/>
      <c r="D39" s="4"/>
      <c r="E39" s="4"/>
      <c r="F39" s="4"/>
      <c r="G39" s="4"/>
      <c r="H39" s="4"/>
      <c r="I39" s="4"/>
      <c r="J39" s="4"/>
      <c r="K39" s="1"/>
      <c r="L39" s="4"/>
      <c r="M39" s="4"/>
      <c r="N39" s="4"/>
    </row>
    <row r="40" spans="1:14" x14ac:dyDescent="0.3">
      <c r="A40" s="12" t="str">
        <f>IF(Identificación!$B40="","",Identificación!$B40)</f>
        <v/>
      </c>
      <c r="B40" s="4"/>
      <c r="C40" s="4"/>
      <c r="D40" s="4"/>
      <c r="E40" s="4"/>
      <c r="F40" s="4"/>
      <c r="G40" s="4"/>
      <c r="H40" s="4"/>
      <c r="I40" s="4"/>
      <c r="J40" s="4"/>
      <c r="K40" s="1"/>
      <c r="L40" s="4"/>
      <c r="M40" s="4"/>
      <c r="N40" s="4"/>
    </row>
    <row r="41" spans="1:14" x14ac:dyDescent="0.3">
      <c r="A41" s="12" t="str">
        <f>IF(Identificación!$B41="","",Identificación!$B41)</f>
        <v/>
      </c>
      <c r="B41" s="4"/>
      <c r="C41" s="4"/>
      <c r="D41" s="4"/>
      <c r="E41" s="4"/>
      <c r="F41" s="4"/>
      <c r="G41" s="4"/>
      <c r="H41" s="4"/>
      <c r="I41" s="4"/>
      <c r="J41" s="4"/>
      <c r="K41" s="1"/>
      <c r="L41" s="4"/>
      <c r="M41" s="4"/>
      <c r="N41" s="4"/>
    </row>
    <row r="42" spans="1:14" x14ac:dyDescent="0.3">
      <c r="A42" s="12" t="str">
        <f>IF(Identificación!$B42="","",Identificación!$B42)</f>
        <v/>
      </c>
      <c r="B42" s="4"/>
      <c r="C42" s="4"/>
      <c r="D42" s="4"/>
      <c r="E42" s="4"/>
      <c r="F42" s="4"/>
      <c r="G42" s="4"/>
      <c r="H42" s="4"/>
      <c r="I42" s="4"/>
      <c r="J42" s="4"/>
      <c r="K42" s="1"/>
      <c r="L42" s="4"/>
      <c r="M42" s="4"/>
      <c r="N42" s="4"/>
    </row>
    <row r="43" spans="1:14" x14ac:dyDescent="0.3">
      <c r="A43" s="12" t="str">
        <f>IF(Identificación!$B43="","",Identificación!$B43)</f>
        <v/>
      </c>
      <c r="B43" s="4"/>
      <c r="C43" s="4"/>
      <c r="D43" s="4"/>
      <c r="E43" s="4"/>
      <c r="F43" s="4"/>
      <c r="G43" s="4"/>
      <c r="H43" s="4"/>
      <c r="I43" s="4"/>
      <c r="J43" s="4"/>
      <c r="K43" s="1"/>
      <c r="L43" s="4"/>
      <c r="M43" s="4"/>
      <c r="N43" s="4"/>
    </row>
    <row r="44" spans="1:14" x14ac:dyDescent="0.3">
      <c r="A44" s="12" t="str">
        <f>IF(Identificación!$B44="","",Identificación!$B44)</f>
        <v/>
      </c>
      <c r="B44" s="4"/>
      <c r="C44" s="4"/>
      <c r="D44" s="4"/>
      <c r="E44" s="4"/>
      <c r="F44" s="4"/>
      <c r="G44" s="4"/>
      <c r="H44" s="4"/>
      <c r="I44" s="4"/>
      <c r="J44" s="4"/>
      <c r="K44" s="1"/>
      <c r="L44" s="4"/>
      <c r="M44" s="4"/>
      <c r="N44" s="4"/>
    </row>
    <row r="45" spans="1:14" x14ac:dyDescent="0.3">
      <c r="A45" s="12" t="str">
        <f>IF(Identificación!$B45="","",Identificación!$B45)</f>
        <v/>
      </c>
      <c r="B45" s="4"/>
      <c r="C45" s="4"/>
      <c r="D45" s="4"/>
      <c r="E45" s="4"/>
      <c r="F45" s="4"/>
      <c r="G45" s="4"/>
      <c r="H45" s="4"/>
      <c r="I45" s="4"/>
      <c r="J45" s="4"/>
      <c r="K45" s="1"/>
      <c r="L45" s="4"/>
      <c r="M45" s="4"/>
      <c r="N45" s="4"/>
    </row>
    <row r="46" spans="1:14" x14ac:dyDescent="0.3">
      <c r="A46" s="12" t="str">
        <f>IF(Identificación!$B46="","",Identificación!$B46)</f>
        <v/>
      </c>
      <c r="B46" s="4"/>
      <c r="C46" s="4"/>
      <c r="D46" s="4"/>
      <c r="E46" s="4"/>
      <c r="F46" s="4"/>
      <c r="G46" s="4"/>
      <c r="H46" s="4"/>
      <c r="I46" s="4"/>
      <c r="J46" s="4"/>
      <c r="K46" s="1"/>
      <c r="L46" s="4"/>
      <c r="M46" s="4"/>
      <c r="N46" s="4"/>
    </row>
    <row r="47" spans="1:14" x14ac:dyDescent="0.3">
      <c r="A47" s="12" t="str">
        <f>IF(Identificación!$B47="","",Identificación!$B47)</f>
        <v/>
      </c>
      <c r="B47" s="4"/>
      <c r="C47" s="4"/>
      <c r="D47" s="4"/>
      <c r="E47" s="4"/>
      <c r="F47" s="4"/>
      <c r="G47" s="4"/>
      <c r="H47" s="4"/>
      <c r="I47" s="4"/>
      <c r="J47" s="4"/>
      <c r="K47" s="1"/>
      <c r="L47" s="4"/>
      <c r="M47" s="4"/>
      <c r="N47" s="4"/>
    </row>
    <row r="48" spans="1:14" x14ac:dyDescent="0.3">
      <c r="A48" s="12" t="str">
        <f>IF(Identificación!$B48="","",Identificación!$B48)</f>
        <v/>
      </c>
      <c r="B48" s="4"/>
      <c r="C48" s="4"/>
      <c r="D48" s="4"/>
      <c r="E48" s="4"/>
      <c r="F48" s="4"/>
      <c r="G48" s="4"/>
      <c r="H48" s="4"/>
      <c r="I48" s="4"/>
      <c r="J48" s="4"/>
      <c r="K48" s="1"/>
      <c r="L48" s="4"/>
      <c r="M48" s="4"/>
      <c r="N48" s="4"/>
    </row>
    <row r="49" spans="1:14" x14ac:dyDescent="0.3">
      <c r="A49" s="12" t="str">
        <f>IF(Identificación!$B49="","",Identificación!$B49)</f>
        <v/>
      </c>
      <c r="B49" s="4"/>
      <c r="C49" s="4"/>
      <c r="D49" s="4"/>
      <c r="E49" s="4"/>
      <c r="F49" s="4"/>
      <c r="G49" s="4"/>
      <c r="H49" s="4"/>
      <c r="I49" s="4"/>
      <c r="J49" s="4"/>
      <c r="K49" s="1"/>
      <c r="L49" s="4"/>
      <c r="M49" s="4"/>
      <c r="N49" s="4"/>
    </row>
    <row r="50" spans="1:14" x14ac:dyDescent="0.3">
      <c r="A50" s="12" t="str">
        <f>IF(Identificación!$B50="","",Identificación!$B50)</f>
        <v/>
      </c>
      <c r="B50" s="4"/>
      <c r="C50" s="4"/>
      <c r="D50" s="4"/>
      <c r="E50" s="4"/>
      <c r="F50" s="4"/>
      <c r="G50" s="4"/>
      <c r="H50" s="4"/>
      <c r="I50" s="4"/>
      <c r="J50" s="4"/>
      <c r="K50" s="1"/>
      <c r="L50" s="4"/>
      <c r="M50" s="4"/>
      <c r="N50" s="4"/>
    </row>
    <row r="51" spans="1:14" x14ac:dyDescent="0.3">
      <c r="A51" s="12" t="str">
        <f>IF(Identificación!$B51="","",Identificación!$B51)</f>
        <v/>
      </c>
      <c r="B51" s="4"/>
      <c r="C51" s="4"/>
      <c r="D51" s="4"/>
      <c r="E51" s="4"/>
      <c r="F51" s="4"/>
      <c r="G51" s="4"/>
      <c r="H51" s="4"/>
      <c r="I51" s="4"/>
      <c r="J51" s="4"/>
      <c r="K51" s="1"/>
      <c r="L51" s="4"/>
      <c r="M51" s="4"/>
      <c r="N51" s="4"/>
    </row>
  </sheetData>
  <sheetProtection algorithmName="SHA-512" hashValue="DBWEyrZqur0YH9Amx0PDQHsSxs45P7/9bfICD4oTGVbx25KOgFhbzIOAmMw9A5WKLks65OdRRj8TyQ+diaXl8A==" saltValue="//UhX11K2wUd2QCQGX65Lw==" spinCount="100000" sheet="1" objects="1" scenarios="1" selectLockedCells="1" sort="0" autoFilter="0"/>
  <dataValidations count="4">
    <dataValidation type="list" allowBlank="1" showInputMessage="1" showErrorMessage="1" sqref="G2:G51" xr:uid="{C0BBB8F1-F870-4326-9821-CC91BC565B1C}">
      <formula1>EstadoComite</formula1>
    </dataValidation>
    <dataValidation type="list" allowBlank="1" showInputMessage="1" showErrorMessage="1" sqref="H2:H51 J2:J51" xr:uid="{5299B437-E4E5-4809-B239-DB77DCC5327D}">
      <formula1>EstadoPlan</formula1>
    </dataValidation>
    <dataValidation type="list" allowBlank="1" showInputMessage="1" showErrorMessage="1" errorTitle="Consejo Departamental de Cultura" error="Selecciona: Existe, No existe o Por renovar." sqref="I2:I51" xr:uid="{59432359-A7B4-4838-975A-9EEFFF8A53F5}">
      <formula1>"Existe,No existe,Por renovar"</formula1>
    </dataValidation>
    <dataValidation type="list" allowBlank="1" showInputMessage="1" showErrorMessage="1" errorTitle="Ordenanzas Culturales" error="Selecciona: Existe, No existe o Por activar." promptTitle="Ordenanzas Culturales" prompt="Colocar en Observaciones el número de la ordenanza y la vigencia del Plan Departamental, si aplica." sqref="K2:K51" xr:uid="{8F517A8E-31FF-4A31-87F6-6987365B7302}">
      <formula1>"Existe,No existe,Por activar"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6652-4214-4B32-A9D1-3577491C1D25}">
  <sheetPr codeName="Hoja3">
    <tabColor theme="3" tint="-0.499984740745262"/>
  </sheetPr>
  <dimension ref="A1:AZ51"/>
  <sheetViews>
    <sheetView workbookViewId="0">
      <pane ySplit="1" topLeftCell="A2" activePane="bottomLeft" state="frozen"/>
      <selection activeCell="C1" sqref="C1"/>
      <selection pane="bottomLeft" activeCell="G2" sqref="B2:G3"/>
    </sheetView>
  </sheetViews>
  <sheetFormatPr baseColWidth="10" defaultColWidth="0" defaultRowHeight="13.2" zeroHeight="1" x14ac:dyDescent="0.3"/>
  <cols>
    <col min="1" max="2" width="29.6640625" style="2" customWidth="1"/>
    <col min="3" max="3" width="47.77734375" style="2" customWidth="1"/>
    <col min="4" max="7" width="29.6640625" style="2" customWidth="1"/>
    <col min="8" max="52" width="11.88671875" style="2" hidden="1" customWidth="1"/>
    <col min="53" max="16384" width="11.5546875" style="2" hidden="1"/>
  </cols>
  <sheetData>
    <row r="1" spans="1:7" ht="45" customHeight="1" x14ac:dyDescent="0.3">
      <c r="A1" s="11" t="s">
        <v>107</v>
      </c>
      <c r="B1" s="11" t="s">
        <v>122</v>
      </c>
      <c r="C1" s="11" t="s">
        <v>123</v>
      </c>
      <c r="D1" s="11" t="s">
        <v>124</v>
      </c>
      <c r="E1" s="11" t="s">
        <v>125</v>
      </c>
      <c r="F1" s="11" t="s">
        <v>126</v>
      </c>
      <c r="G1" s="11" t="s">
        <v>127</v>
      </c>
    </row>
    <row r="2" spans="1:7" x14ac:dyDescent="0.3">
      <c r="A2" s="12" t="str">
        <f>IF(Identificación!$B2="","",Identificación!$B2)</f>
        <v/>
      </c>
      <c r="B2" s="4"/>
      <c r="C2" s="4"/>
      <c r="D2" s="4"/>
      <c r="E2" s="4"/>
      <c r="F2" s="4"/>
      <c r="G2" s="4"/>
    </row>
    <row r="3" spans="1:7" x14ac:dyDescent="0.3">
      <c r="A3" s="12" t="str">
        <f>IF(Identificación!$B3="","",Identificación!$B3)</f>
        <v/>
      </c>
      <c r="B3" s="4"/>
      <c r="C3" s="4"/>
      <c r="D3" s="4"/>
      <c r="E3" s="4"/>
      <c r="F3" s="4"/>
      <c r="G3" s="4"/>
    </row>
    <row r="4" spans="1:7" x14ac:dyDescent="0.3">
      <c r="A4" s="12" t="str">
        <f>IF(Identificación!$B4="","",Identificación!$B4)</f>
        <v/>
      </c>
      <c r="B4" s="4"/>
      <c r="C4" s="4"/>
      <c r="D4" s="4"/>
      <c r="E4" s="4"/>
      <c r="F4" s="4"/>
      <c r="G4" s="4"/>
    </row>
    <row r="5" spans="1:7" x14ac:dyDescent="0.3">
      <c r="A5" s="12" t="str">
        <f>IF(Identificación!$B5="","",Identificación!$B5)</f>
        <v/>
      </c>
      <c r="B5" s="4"/>
      <c r="C5" s="4"/>
      <c r="D5" s="4"/>
      <c r="E5" s="4"/>
      <c r="F5" s="4"/>
      <c r="G5" s="4"/>
    </row>
    <row r="6" spans="1:7" x14ac:dyDescent="0.3">
      <c r="A6" s="12" t="str">
        <f>IF(Identificación!$B6="","",Identificación!$B6)</f>
        <v/>
      </c>
      <c r="B6" s="4"/>
      <c r="C6" s="4"/>
      <c r="D6" s="4"/>
      <c r="E6" s="4"/>
      <c r="F6" s="4"/>
      <c r="G6" s="4"/>
    </row>
    <row r="7" spans="1:7" x14ac:dyDescent="0.3">
      <c r="A7" s="12" t="str">
        <f>IF(Identificación!$B7="","",Identificación!$B7)</f>
        <v/>
      </c>
      <c r="B7" s="4"/>
      <c r="C7" s="4"/>
      <c r="D7" s="4"/>
      <c r="E7" s="4"/>
      <c r="F7" s="4"/>
      <c r="G7" s="4"/>
    </row>
    <row r="8" spans="1:7" x14ac:dyDescent="0.3">
      <c r="A8" s="12" t="str">
        <f>IF(Identificación!$B8="","",Identificación!$B8)</f>
        <v/>
      </c>
      <c r="B8" s="4"/>
      <c r="C8" s="4"/>
      <c r="D8" s="4"/>
      <c r="E8" s="4"/>
      <c r="F8" s="4"/>
      <c r="G8" s="4"/>
    </row>
    <row r="9" spans="1:7" x14ac:dyDescent="0.3">
      <c r="A9" s="12" t="str">
        <f>IF(Identificación!$B9="","",Identificación!$B9)</f>
        <v/>
      </c>
      <c r="B9" s="4"/>
      <c r="C9" s="4"/>
      <c r="D9" s="4"/>
      <c r="E9" s="4"/>
      <c r="F9" s="4"/>
      <c r="G9" s="4"/>
    </row>
    <row r="10" spans="1:7" x14ac:dyDescent="0.3">
      <c r="A10" s="12" t="str">
        <f>IF(Identificación!$B10="","",Identificación!$B10)</f>
        <v/>
      </c>
      <c r="B10" s="4"/>
      <c r="C10" s="4"/>
      <c r="D10" s="4"/>
      <c r="E10" s="4"/>
      <c r="F10" s="4"/>
      <c r="G10" s="4"/>
    </row>
    <row r="11" spans="1:7" x14ac:dyDescent="0.3">
      <c r="A11" s="12" t="str">
        <f>IF(Identificación!$B11="","",Identificación!$B11)</f>
        <v/>
      </c>
      <c r="B11" s="4"/>
      <c r="C11" s="4"/>
      <c r="D11" s="4"/>
      <c r="E11" s="4"/>
      <c r="F11" s="4"/>
      <c r="G11" s="4"/>
    </row>
    <row r="12" spans="1:7" x14ac:dyDescent="0.3">
      <c r="A12" s="12" t="str">
        <f>IF(Identificación!$B12="","",Identificación!$B12)</f>
        <v/>
      </c>
      <c r="B12" s="4"/>
      <c r="C12" s="4"/>
      <c r="D12" s="4"/>
      <c r="E12" s="4"/>
      <c r="F12" s="4"/>
      <c r="G12" s="4"/>
    </row>
    <row r="13" spans="1:7" x14ac:dyDescent="0.3">
      <c r="A13" s="12" t="str">
        <f>IF(Identificación!$B13="","",Identificación!$B13)</f>
        <v/>
      </c>
      <c r="B13" s="4"/>
      <c r="C13" s="4"/>
      <c r="D13" s="4"/>
      <c r="E13" s="4"/>
      <c r="F13" s="4"/>
      <c r="G13" s="4"/>
    </row>
    <row r="14" spans="1:7" x14ac:dyDescent="0.3">
      <c r="A14" s="12" t="str">
        <f>IF(Identificación!$B14="","",Identificación!$B14)</f>
        <v/>
      </c>
      <c r="B14" s="4"/>
      <c r="C14" s="4"/>
      <c r="D14" s="4"/>
      <c r="E14" s="4"/>
      <c r="F14" s="4"/>
      <c r="G14" s="4"/>
    </row>
    <row r="15" spans="1:7" x14ac:dyDescent="0.3">
      <c r="A15" s="12" t="str">
        <f>IF(Identificación!$B15="","",Identificación!$B15)</f>
        <v/>
      </c>
      <c r="B15" s="4"/>
      <c r="C15" s="4"/>
      <c r="D15" s="4"/>
      <c r="E15" s="4"/>
      <c r="F15" s="4"/>
      <c r="G15" s="4"/>
    </row>
    <row r="16" spans="1:7" x14ac:dyDescent="0.3">
      <c r="A16" s="12" t="str">
        <f>IF(Identificación!$B16="","",Identificación!$B16)</f>
        <v/>
      </c>
      <c r="B16" s="4"/>
      <c r="C16" s="4"/>
      <c r="D16" s="4"/>
      <c r="E16" s="4"/>
      <c r="F16" s="4"/>
      <c r="G16" s="4"/>
    </row>
    <row r="17" spans="1:7" x14ac:dyDescent="0.3">
      <c r="A17" s="12" t="str">
        <f>IF(Identificación!$B17="","",Identificación!$B17)</f>
        <v/>
      </c>
      <c r="B17" s="4"/>
      <c r="C17" s="4"/>
      <c r="D17" s="4"/>
      <c r="E17" s="4"/>
      <c r="F17" s="4"/>
      <c r="G17" s="4"/>
    </row>
    <row r="18" spans="1:7" x14ac:dyDescent="0.3">
      <c r="A18" s="12" t="str">
        <f>IF(Identificación!$B18="","",Identificación!$B18)</f>
        <v/>
      </c>
      <c r="B18" s="4"/>
      <c r="C18" s="4"/>
      <c r="D18" s="4"/>
      <c r="E18" s="4"/>
      <c r="F18" s="4"/>
      <c r="G18" s="4"/>
    </row>
    <row r="19" spans="1:7" x14ac:dyDescent="0.3">
      <c r="A19" s="12" t="str">
        <f>IF(Identificación!$B19="","",Identificación!$B19)</f>
        <v/>
      </c>
      <c r="B19" s="4"/>
      <c r="C19" s="4"/>
      <c r="D19" s="4"/>
      <c r="E19" s="4"/>
      <c r="F19" s="4"/>
      <c r="G19" s="4"/>
    </row>
    <row r="20" spans="1:7" x14ac:dyDescent="0.3">
      <c r="A20" s="12" t="str">
        <f>IF(Identificación!$B20="","",Identificación!$B20)</f>
        <v/>
      </c>
      <c r="B20" s="4"/>
      <c r="C20" s="4"/>
      <c r="D20" s="4"/>
      <c r="E20" s="4"/>
      <c r="F20" s="4"/>
      <c r="G20" s="4"/>
    </row>
    <row r="21" spans="1:7" x14ac:dyDescent="0.3">
      <c r="A21" s="12" t="str">
        <f>IF(Identificación!$B21="","",Identificación!$B21)</f>
        <v/>
      </c>
      <c r="B21" s="4"/>
      <c r="C21" s="4"/>
      <c r="D21" s="4"/>
      <c r="E21" s="4"/>
      <c r="F21" s="4"/>
      <c r="G21" s="4"/>
    </row>
    <row r="22" spans="1:7" x14ac:dyDescent="0.3">
      <c r="A22" s="12" t="str">
        <f>IF(Identificación!$B22="","",Identificación!$B22)</f>
        <v/>
      </c>
      <c r="B22" s="4"/>
      <c r="C22" s="4"/>
      <c r="D22" s="4"/>
      <c r="E22" s="4"/>
      <c r="F22" s="4"/>
      <c r="G22" s="4"/>
    </row>
    <row r="23" spans="1:7" x14ac:dyDescent="0.3">
      <c r="A23" s="12" t="str">
        <f>IF(Identificación!$B23="","",Identificación!$B23)</f>
        <v/>
      </c>
      <c r="B23" s="4"/>
      <c r="C23" s="4"/>
      <c r="D23" s="4"/>
      <c r="E23" s="4"/>
      <c r="F23" s="4"/>
      <c r="G23" s="4"/>
    </row>
    <row r="24" spans="1:7" x14ac:dyDescent="0.3">
      <c r="A24" s="12" t="str">
        <f>IF(Identificación!$B24="","",Identificación!$B24)</f>
        <v/>
      </c>
      <c r="B24" s="4"/>
      <c r="C24" s="4"/>
      <c r="D24" s="4"/>
      <c r="E24" s="4"/>
      <c r="F24" s="4"/>
      <c r="G24" s="4"/>
    </row>
    <row r="25" spans="1:7" x14ac:dyDescent="0.3">
      <c r="A25" s="12" t="str">
        <f>IF(Identificación!$B25="","",Identificación!$B25)</f>
        <v/>
      </c>
      <c r="B25" s="4"/>
      <c r="C25" s="4"/>
      <c r="D25" s="4"/>
      <c r="E25" s="4"/>
      <c r="F25" s="4"/>
      <c r="G25" s="4"/>
    </row>
    <row r="26" spans="1:7" x14ac:dyDescent="0.3">
      <c r="A26" s="12" t="str">
        <f>IF(Identificación!$B26="","",Identificación!$B26)</f>
        <v/>
      </c>
      <c r="B26" s="4"/>
      <c r="C26" s="4"/>
      <c r="D26" s="4"/>
      <c r="E26" s="4"/>
      <c r="F26" s="4"/>
      <c r="G26" s="4"/>
    </row>
    <row r="27" spans="1:7" x14ac:dyDescent="0.3">
      <c r="A27" s="12" t="str">
        <f>IF(Identificación!$B27="","",Identificación!$B27)</f>
        <v/>
      </c>
      <c r="B27" s="4"/>
      <c r="C27" s="4"/>
      <c r="D27" s="4"/>
      <c r="E27" s="4"/>
      <c r="F27" s="4"/>
      <c r="G27" s="4"/>
    </row>
    <row r="28" spans="1:7" x14ac:dyDescent="0.3">
      <c r="A28" s="12" t="str">
        <f>IF(Identificación!$B28="","",Identificación!$B28)</f>
        <v/>
      </c>
      <c r="B28" s="4"/>
      <c r="C28" s="4"/>
      <c r="D28" s="4"/>
      <c r="E28" s="4"/>
      <c r="F28" s="4"/>
      <c r="G28" s="4"/>
    </row>
    <row r="29" spans="1:7" x14ac:dyDescent="0.3">
      <c r="A29" s="12" t="str">
        <f>IF(Identificación!$B29="","",Identificación!$B29)</f>
        <v/>
      </c>
      <c r="B29" s="4"/>
      <c r="C29" s="4"/>
      <c r="D29" s="4"/>
      <c r="E29" s="4"/>
      <c r="F29" s="4"/>
      <c r="G29" s="4"/>
    </row>
    <row r="30" spans="1:7" x14ac:dyDescent="0.3">
      <c r="A30" s="12" t="str">
        <f>IF(Identificación!$B30="","",Identificación!$B30)</f>
        <v/>
      </c>
      <c r="B30" s="4"/>
      <c r="C30" s="4"/>
      <c r="D30" s="4"/>
      <c r="E30" s="4"/>
      <c r="F30" s="4"/>
      <c r="G30" s="4"/>
    </row>
    <row r="31" spans="1:7" x14ac:dyDescent="0.3">
      <c r="A31" s="12" t="str">
        <f>IF(Identificación!$B31="","",Identificación!$B31)</f>
        <v/>
      </c>
      <c r="B31" s="4"/>
      <c r="C31" s="4"/>
      <c r="D31" s="4"/>
      <c r="E31" s="4"/>
      <c r="F31" s="4"/>
      <c r="G31" s="4"/>
    </row>
    <row r="32" spans="1:7" x14ac:dyDescent="0.3">
      <c r="A32" s="12" t="str">
        <f>IF(Identificación!$B32="","",Identificación!$B32)</f>
        <v/>
      </c>
      <c r="B32" s="4"/>
      <c r="C32" s="4"/>
      <c r="D32" s="4"/>
      <c r="E32" s="4"/>
      <c r="F32" s="4"/>
      <c r="G32" s="4"/>
    </row>
    <row r="33" spans="1:7" x14ac:dyDescent="0.3">
      <c r="A33" s="12" t="str">
        <f>IF(Identificación!$B33="","",Identificación!$B33)</f>
        <v/>
      </c>
      <c r="B33" s="4"/>
      <c r="C33" s="4"/>
      <c r="D33" s="4"/>
      <c r="E33" s="4"/>
      <c r="F33" s="4"/>
      <c r="G33" s="4"/>
    </row>
    <row r="34" spans="1:7" x14ac:dyDescent="0.3">
      <c r="A34" s="12" t="str">
        <f>IF(Identificación!$B34="","",Identificación!$B34)</f>
        <v/>
      </c>
      <c r="B34" s="4"/>
      <c r="C34" s="4"/>
      <c r="D34" s="4"/>
      <c r="E34" s="4"/>
      <c r="F34" s="4"/>
      <c r="G34" s="4"/>
    </row>
    <row r="35" spans="1:7" x14ac:dyDescent="0.3">
      <c r="A35" s="12" t="str">
        <f>IF(Identificación!$B35="","",Identificación!$B35)</f>
        <v/>
      </c>
      <c r="B35" s="4"/>
      <c r="C35" s="4"/>
      <c r="D35" s="4"/>
      <c r="E35" s="4"/>
      <c r="F35" s="4"/>
      <c r="G35" s="4"/>
    </row>
    <row r="36" spans="1:7" x14ac:dyDescent="0.3">
      <c r="A36" s="12" t="str">
        <f>IF(Identificación!$B36="","",Identificación!$B36)</f>
        <v/>
      </c>
      <c r="B36" s="4"/>
      <c r="C36" s="4"/>
      <c r="D36" s="4"/>
      <c r="E36" s="4"/>
      <c r="F36" s="4"/>
      <c r="G36" s="4"/>
    </row>
    <row r="37" spans="1:7" x14ac:dyDescent="0.3">
      <c r="A37" s="12" t="str">
        <f>IF(Identificación!$B37="","",Identificación!$B37)</f>
        <v/>
      </c>
      <c r="B37" s="4"/>
      <c r="C37" s="4"/>
      <c r="D37" s="4"/>
      <c r="E37" s="4"/>
      <c r="F37" s="4"/>
      <c r="G37" s="4"/>
    </row>
    <row r="38" spans="1:7" x14ac:dyDescent="0.3">
      <c r="A38" s="12" t="str">
        <f>IF(Identificación!$B38="","",Identificación!$B38)</f>
        <v/>
      </c>
      <c r="B38" s="4"/>
      <c r="C38" s="4"/>
      <c r="D38" s="4"/>
      <c r="E38" s="4"/>
      <c r="F38" s="4"/>
      <c r="G38" s="4"/>
    </row>
    <row r="39" spans="1:7" x14ac:dyDescent="0.3">
      <c r="A39" s="12" t="str">
        <f>IF(Identificación!$B39="","",Identificación!$B39)</f>
        <v/>
      </c>
      <c r="B39" s="4"/>
      <c r="C39" s="4"/>
      <c r="D39" s="4"/>
      <c r="E39" s="4"/>
      <c r="F39" s="4"/>
      <c r="G39" s="4"/>
    </row>
    <row r="40" spans="1:7" x14ac:dyDescent="0.3">
      <c r="A40" s="12" t="str">
        <f>IF(Identificación!$B40="","",Identificación!$B40)</f>
        <v/>
      </c>
      <c r="B40" s="4"/>
      <c r="C40" s="4"/>
      <c r="D40" s="4"/>
      <c r="E40" s="4"/>
      <c r="F40" s="4"/>
      <c r="G40" s="4"/>
    </row>
    <row r="41" spans="1:7" x14ac:dyDescent="0.3">
      <c r="A41" s="12" t="str">
        <f>IF(Identificación!$B41="","",Identificación!$B41)</f>
        <v/>
      </c>
      <c r="B41" s="4"/>
      <c r="C41" s="4"/>
      <c r="D41" s="4"/>
      <c r="E41" s="4"/>
      <c r="F41" s="4"/>
      <c r="G41" s="4"/>
    </row>
    <row r="42" spans="1:7" x14ac:dyDescent="0.3">
      <c r="A42" s="12" t="str">
        <f>IF(Identificación!$B42="","",Identificación!$B42)</f>
        <v/>
      </c>
      <c r="B42" s="4"/>
      <c r="C42" s="4"/>
      <c r="D42" s="4"/>
      <c r="E42" s="4"/>
      <c r="F42" s="4"/>
      <c r="G42" s="4"/>
    </row>
    <row r="43" spans="1:7" x14ac:dyDescent="0.3">
      <c r="A43" s="12" t="str">
        <f>IF(Identificación!$B43="","",Identificación!$B43)</f>
        <v/>
      </c>
      <c r="B43" s="4"/>
      <c r="C43" s="4"/>
      <c r="D43" s="4"/>
      <c r="E43" s="4"/>
      <c r="F43" s="4"/>
      <c r="G43" s="4"/>
    </row>
    <row r="44" spans="1:7" x14ac:dyDescent="0.3">
      <c r="A44" s="12" t="str">
        <f>IF(Identificación!$B44="","",Identificación!$B44)</f>
        <v/>
      </c>
      <c r="B44" s="4"/>
      <c r="C44" s="4"/>
      <c r="D44" s="4"/>
      <c r="E44" s="4"/>
      <c r="F44" s="4"/>
      <c r="G44" s="4"/>
    </row>
    <row r="45" spans="1:7" x14ac:dyDescent="0.3">
      <c r="A45" s="12" t="str">
        <f>IF(Identificación!$B45="","",Identificación!$B45)</f>
        <v/>
      </c>
      <c r="B45" s="4"/>
      <c r="C45" s="4"/>
      <c r="D45" s="4"/>
      <c r="E45" s="4"/>
      <c r="F45" s="4"/>
      <c r="G45" s="4"/>
    </row>
    <row r="46" spans="1:7" x14ac:dyDescent="0.3">
      <c r="A46" s="12" t="str">
        <f>IF(Identificación!$B46="","",Identificación!$B46)</f>
        <v/>
      </c>
      <c r="B46" s="4"/>
      <c r="C46" s="4"/>
      <c r="D46" s="4"/>
      <c r="E46" s="4"/>
      <c r="F46" s="4"/>
      <c r="G46" s="4"/>
    </row>
    <row r="47" spans="1:7" x14ac:dyDescent="0.3">
      <c r="A47" s="12" t="str">
        <f>IF(Identificación!$B47="","",Identificación!$B47)</f>
        <v/>
      </c>
      <c r="B47" s="4"/>
      <c r="C47" s="4"/>
      <c r="D47" s="4"/>
      <c r="E47" s="4"/>
      <c r="F47" s="4"/>
      <c r="G47" s="4"/>
    </row>
    <row r="48" spans="1:7" x14ac:dyDescent="0.3">
      <c r="A48" s="12" t="str">
        <f>IF(Identificación!$B48="","",Identificación!$B48)</f>
        <v/>
      </c>
      <c r="B48" s="4"/>
      <c r="C48" s="4"/>
      <c r="D48" s="4"/>
      <c r="E48" s="4"/>
      <c r="F48" s="4"/>
      <c r="G48" s="4"/>
    </row>
    <row r="49" spans="1:7" x14ac:dyDescent="0.3">
      <c r="A49" s="12" t="str">
        <f>IF(Identificación!$B49="","",Identificación!$B49)</f>
        <v/>
      </c>
      <c r="B49" s="4"/>
      <c r="C49" s="4"/>
      <c r="D49" s="4"/>
      <c r="E49" s="4"/>
      <c r="F49" s="4"/>
      <c r="G49" s="4"/>
    </row>
    <row r="50" spans="1:7" x14ac:dyDescent="0.3">
      <c r="A50" s="12" t="str">
        <f>IF(Identificación!$B50="","",Identificación!$B50)</f>
        <v/>
      </c>
      <c r="B50" s="4"/>
      <c r="C50" s="4"/>
      <c r="D50" s="4"/>
      <c r="E50" s="4"/>
      <c r="F50" s="4"/>
      <c r="G50" s="4"/>
    </row>
    <row r="51" spans="1:7" x14ac:dyDescent="0.3">
      <c r="A51" s="12" t="str">
        <f>IF(Identificación!$B51="","",Identificación!$B51)</f>
        <v/>
      </c>
      <c r="B51" s="4"/>
      <c r="C51" s="4"/>
      <c r="D51" s="4"/>
      <c r="E51" s="4"/>
      <c r="F51" s="4"/>
      <c r="G51" s="4"/>
    </row>
  </sheetData>
  <sheetProtection algorithmName="SHA-512" hashValue="CzrjNd0QVpXmEOcJjugAIW80uO0Ozw6tJSbOlp0QOiX7MpZG/fcBOJLOW0/Ro0rcf5VxnLkvGvLeSMTc/cPQlA==" saltValue="4CuC+KvGvPtwdUhMx8Zrtw==" spinCount="100000" sheet="1" objects="1" scenarios="1" selectLockedCells="1" sort="0" autoFilter="0"/>
  <dataValidations count="1">
    <dataValidation type="list" allowBlank="1" showInputMessage="1" showErrorMessage="1" sqref="F2:F51" xr:uid="{C5B6096E-9042-42BB-A4B0-59EF64128FB3}">
      <formula1>NivelAMB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A4EA-16D6-45BF-9FED-3195748F5903}">
  <sheetPr codeName="Hoja4">
    <tabColor rgb="FF00B050"/>
  </sheetPr>
  <dimension ref="A1:AZ51"/>
  <sheetViews>
    <sheetView workbookViewId="0">
      <pane ySplit="1" topLeftCell="A2" activePane="bottomLeft" state="frozen"/>
      <selection activeCell="C1" sqref="C1"/>
      <selection pane="bottomLeft" activeCell="R2" sqref="B2:R2"/>
    </sheetView>
  </sheetViews>
  <sheetFormatPr baseColWidth="10" defaultColWidth="0" defaultRowHeight="13.2" zeroHeight="1" x14ac:dyDescent="0.3"/>
  <cols>
    <col min="1" max="8" width="25.88671875" style="2" customWidth="1"/>
    <col min="9" max="9" width="26" style="2" customWidth="1"/>
    <col min="10" max="12" width="25.88671875" style="2" customWidth="1"/>
    <col min="13" max="13" width="30.5546875" style="2" customWidth="1"/>
    <col min="14" max="14" width="25.88671875" style="2" customWidth="1"/>
    <col min="15" max="15" width="52.88671875" style="2" customWidth="1"/>
    <col min="16" max="17" width="25.88671875" style="2" customWidth="1"/>
    <col min="18" max="18" width="42.6640625" style="2" customWidth="1"/>
    <col min="19" max="52" width="11.88671875" style="2" hidden="1" customWidth="1"/>
    <col min="53" max="16384" width="11.5546875" style="2" hidden="1"/>
  </cols>
  <sheetData>
    <row r="1" spans="1:18" ht="42" customHeight="1" x14ac:dyDescent="0.3">
      <c r="A1" s="11" t="s">
        <v>107</v>
      </c>
      <c r="B1" s="11" t="s">
        <v>128</v>
      </c>
      <c r="C1" s="11" t="s">
        <v>129</v>
      </c>
      <c r="D1" s="11" t="s">
        <v>130</v>
      </c>
      <c r="E1" s="11" t="s">
        <v>131</v>
      </c>
      <c r="F1" s="11" t="s">
        <v>132</v>
      </c>
      <c r="G1" s="11" t="s">
        <v>133</v>
      </c>
      <c r="H1" s="11" t="s">
        <v>134</v>
      </c>
      <c r="I1" s="11" t="s">
        <v>135</v>
      </c>
      <c r="J1" s="11" t="s">
        <v>136</v>
      </c>
      <c r="K1" s="11" t="s">
        <v>137</v>
      </c>
      <c r="L1" s="11" t="s">
        <v>138</v>
      </c>
      <c r="M1" s="11" t="s">
        <v>1218</v>
      </c>
      <c r="N1" s="11" t="s">
        <v>1213</v>
      </c>
      <c r="O1" s="11" t="s">
        <v>139</v>
      </c>
      <c r="P1" s="11" t="s">
        <v>63</v>
      </c>
      <c r="Q1" s="11" t="s">
        <v>140</v>
      </c>
      <c r="R1" s="11" t="s">
        <v>110</v>
      </c>
    </row>
    <row r="2" spans="1:18" x14ac:dyDescent="0.3">
      <c r="A2" s="12" t="str">
        <f>IF(Identificación!$B2="","",Identificación!$B2)</f>
        <v/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9"/>
      <c r="N2" s="4"/>
      <c r="O2" s="4"/>
      <c r="P2" s="4"/>
      <c r="Q2" s="4"/>
      <c r="R2" s="4"/>
    </row>
    <row r="3" spans="1:18" x14ac:dyDescent="0.3">
      <c r="A3" s="12" t="str">
        <f>IF(Identificación!$B3="","",Identificación!$B3)</f>
        <v/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9"/>
      <c r="N3" s="4"/>
      <c r="O3" s="4"/>
      <c r="P3" s="4"/>
      <c r="Q3" s="4"/>
      <c r="R3" s="4"/>
    </row>
    <row r="4" spans="1:18" x14ac:dyDescent="0.3">
      <c r="A4" s="12" t="str">
        <f>IF(Identificación!$B4="","",Identificación!$B4)</f>
        <v/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9"/>
      <c r="N4" s="4"/>
      <c r="O4" s="4"/>
      <c r="P4" s="4"/>
      <c r="Q4" s="4"/>
      <c r="R4" s="4"/>
    </row>
    <row r="5" spans="1:18" x14ac:dyDescent="0.3">
      <c r="A5" s="12" t="str">
        <f>IF(Identificación!$B5="","",Identificación!$B5)</f>
        <v/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9"/>
      <c r="N5" s="4"/>
      <c r="O5" s="4"/>
      <c r="P5" s="4"/>
      <c r="Q5" s="4"/>
      <c r="R5" s="4"/>
    </row>
    <row r="6" spans="1:18" x14ac:dyDescent="0.3">
      <c r="A6" s="12" t="str">
        <f>IF(Identificación!$B6="","",Identificación!$B6)</f>
        <v/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9"/>
      <c r="N6" s="4"/>
      <c r="O6" s="4"/>
      <c r="P6" s="4"/>
      <c r="Q6" s="4"/>
      <c r="R6" s="4"/>
    </row>
    <row r="7" spans="1:18" x14ac:dyDescent="0.3">
      <c r="A7" s="12" t="str">
        <f>IF(Identificación!$B7="","",Identificación!$B7)</f>
        <v/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9"/>
      <c r="N7" s="4"/>
      <c r="O7" s="4"/>
      <c r="P7" s="4"/>
      <c r="Q7" s="4"/>
      <c r="R7" s="4"/>
    </row>
    <row r="8" spans="1:18" x14ac:dyDescent="0.3">
      <c r="A8" s="12" t="str">
        <f>IF(Identificación!$B8="","",Identificación!$B8)</f>
        <v/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9"/>
      <c r="N8" s="4"/>
      <c r="O8" s="4"/>
      <c r="P8" s="4"/>
      <c r="Q8" s="4"/>
      <c r="R8" s="4"/>
    </row>
    <row r="9" spans="1:18" x14ac:dyDescent="0.3">
      <c r="A9" s="12" t="str">
        <f>IF(Identificación!$B9="","",Identificación!$B9)</f>
        <v/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9"/>
      <c r="N9" s="4"/>
      <c r="O9" s="4"/>
      <c r="P9" s="4"/>
      <c r="Q9" s="4"/>
      <c r="R9" s="4"/>
    </row>
    <row r="10" spans="1:18" x14ac:dyDescent="0.3">
      <c r="A10" s="12" t="str">
        <f>IF(Identificación!$B10="","",Identificación!$B10)</f>
        <v/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9"/>
      <c r="N10" s="4"/>
      <c r="O10" s="4"/>
      <c r="P10" s="4"/>
      <c r="Q10" s="4"/>
      <c r="R10" s="4"/>
    </row>
    <row r="11" spans="1:18" x14ac:dyDescent="0.3">
      <c r="A11" s="12" t="str">
        <f>IF(Identificación!$B11="","",Identificación!$B11)</f>
        <v/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9"/>
      <c r="N11" s="4"/>
      <c r="O11" s="4"/>
      <c r="P11" s="4"/>
      <c r="Q11" s="4"/>
      <c r="R11" s="4"/>
    </row>
    <row r="12" spans="1:18" x14ac:dyDescent="0.3">
      <c r="A12" s="12" t="str">
        <f>IF(Identificación!$B12="","",Identificación!$B12)</f>
        <v/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9"/>
      <c r="N12" s="4"/>
      <c r="O12" s="4"/>
      <c r="P12" s="4"/>
      <c r="Q12" s="4"/>
      <c r="R12" s="4"/>
    </row>
    <row r="13" spans="1:18" x14ac:dyDescent="0.3">
      <c r="A13" s="12" t="str">
        <f>IF(Identificación!$B13="","",Identificación!$B13)</f>
        <v/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9"/>
      <c r="N13" s="4"/>
      <c r="O13" s="4"/>
      <c r="P13" s="4"/>
      <c r="Q13" s="4"/>
      <c r="R13" s="4"/>
    </row>
    <row r="14" spans="1:18" x14ac:dyDescent="0.3">
      <c r="A14" s="12" t="str">
        <f>IF(Identificación!$B14="","",Identificación!$B14)</f>
        <v/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9"/>
      <c r="N14" s="4"/>
      <c r="O14" s="4"/>
      <c r="P14" s="4"/>
      <c r="Q14" s="4"/>
      <c r="R14" s="4"/>
    </row>
    <row r="15" spans="1:18" x14ac:dyDescent="0.3">
      <c r="A15" s="12" t="str">
        <f>IF(Identificación!$B15="","",Identificación!$B15)</f>
        <v/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9"/>
      <c r="N15" s="4"/>
      <c r="O15" s="4"/>
      <c r="P15" s="4"/>
      <c r="Q15" s="4"/>
      <c r="R15" s="4"/>
    </row>
    <row r="16" spans="1:18" x14ac:dyDescent="0.3">
      <c r="A16" s="12" t="str">
        <f>IF(Identificación!$B16="","",Identificación!$B16)</f>
        <v/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9"/>
      <c r="N16" s="4"/>
      <c r="O16" s="4"/>
      <c r="P16" s="4"/>
      <c r="Q16" s="4"/>
      <c r="R16" s="4"/>
    </row>
    <row r="17" spans="1:18" x14ac:dyDescent="0.3">
      <c r="A17" s="12" t="str">
        <f>IF(Identificación!$B17="","",Identificación!$B17)</f>
        <v/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9"/>
      <c r="N17" s="4"/>
      <c r="O17" s="4"/>
      <c r="P17" s="4"/>
      <c r="Q17" s="4"/>
      <c r="R17" s="4"/>
    </row>
    <row r="18" spans="1:18" x14ac:dyDescent="0.3">
      <c r="A18" s="12" t="str">
        <f>IF(Identificación!$B18="","",Identificación!$B18)</f>
        <v/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9"/>
      <c r="N18" s="4"/>
      <c r="O18" s="4"/>
      <c r="P18" s="4"/>
      <c r="Q18" s="4"/>
      <c r="R18" s="4"/>
    </row>
    <row r="19" spans="1:18" x14ac:dyDescent="0.3">
      <c r="A19" s="12" t="str">
        <f>IF(Identificación!$B19="","",Identificación!$B19)</f>
        <v/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9"/>
      <c r="N19" s="4"/>
      <c r="O19" s="4"/>
      <c r="P19" s="4"/>
      <c r="Q19" s="4"/>
      <c r="R19" s="4"/>
    </row>
    <row r="20" spans="1:18" x14ac:dyDescent="0.3">
      <c r="A20" s="12" t="str">
        <f>IF(Identificación!$B20="","",Identificación!$B20)</f>
        <v/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9"/>
      <c r="N20" s="4"/>
      <c r="O20" s="4"/>
      <c r="P20" s="4"/>
      <c r="Q20" s="4"/>
      <c r="R20" s="4"/>
    </row>
    <row r="21" spans="1:18" x14ac:dyDescent="0.3">
      <c r="A21" s="12" t="str">
        <f>IF(Identificación!$B21="","",Identificación!$B21)</f>
        <v/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9"/>
      <c r="N21" s="4"/>
      <c r="O21" s="4"/>
      <c r="P21" s="4"/>
      <c r="Q21" s="4"/>
      <c r="R21" s="4"/>
    </row>
    <row r="22" spans="1:18" x14ac:dyDescent="0.3">
      <c r="A22" s="12" t="str">
        <f>IF(Identificación!$B22="","",Identificación!$B22)</f>
        <v/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9"/>
      <c r="N22" s="4"/>
      <c r="O22" s="4"/>
      <c r="P22" s="4"/>
      <c r="Q22" s="4"/>
      <c r="R22" s="4"/>
    </row>
    <row r="23" spans="1:18" x14ac:dyDescent="0.3">
      <c r="A23" s="12" t="str">
        <f>IF(Identificación!$B23="","",Identificación!$B23)</f>
        <v/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9"/>
      <c r="N23" s="4"/>
      <c r="O23" s="4"/>
      <c r="P23" s="4"/>
      <c r="Q23" s="4"/>
      <c r="R23" s="4"/>
    </row>
    <row r="24" spans="1:18" x14ac:dyDescent="0.3">
      <c r="A24" s="12" t="str">
        <f>IF(Identificación!$B24="","",Identificación!$B24)</f>
        <v/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9"/>
      <c r="N24" s="4"/>
      <c r="O24" s="4"/>
      <c r="P24" s="4"/>
      <c r="Q24" s="4"/>
      <c r="R24" s="4"/>
    </row>
    <row r="25" spans="1:18" x14ac:dyDescent="0.3">
      <c r="A25" s="12" t="str">
        <f>IF(Identificación!$B25="","",Identificación!$B25)</f>
        <v/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9"/>
      <c r="N25" s="4"/>
      <c r="O25" s="4"/>
      <c r="P25" s="4"/>
      <c r="Q25" s="4"/>
      <c r="R25" s="4"/>
    </row>
    <row r="26" spans="1:18" x14ac:dyDescent="0.3">
      <c r="A26" s="12" t="str">
        <f>IF(Identificación!$B26="","",Identificación!$B26)</f>
        <v/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9"/>
      <c r="N26" s="4"/>
      <c r="O26" s="4"/>
      <c r="P26" s="4"/>
      <c r="Q26" s="4"/>
      <c r="R26" s="4"/>
    </row>
    <row r="27" spans="1:18" x14ac:dyDescent="0.3">
      <c r="A27" s="12" t="str">
        <f>IF(Identificación!$B27="","",Identificación!$B27)</f>
        <v/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9"/>
      <c r="N27" s="4"/>
      <c r="O27" s="4"/>
      <c r="P27" s="4"/>
      <c r="Q27" s="4"/>
      <c r="R27" s="4"/>
    </row>
    <row r="28" spans="1:18" x14ac:dyDescent="0.3">
      <c r="A28" s="12" t="str">
        <f>IF(Identificación!$B28="","",Identificación!$B28)</f>
        <v/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9"/>
      <c r="N28" s="4"/>
      <c r="O28" s="4"/>
      <c r="P28" s="4"/>
      <c r="Q28" s="4"/>
      <c r="R28" s="4"/>
    </row>
    <row r="29" spans="1:18" x14ac:dyDescent="0.3">
      <c r="A29" s="12" t="str">
        <f>IF(Identificación!$B29="","",Identificación!$B29)</f>
        <v/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9"/>
      <c r="N29" s="4"/>
      <c r="O29" s="4"/>
      <c r="P29" s="4"/>
      <c r="Q29" s="4"/>
      <c r="R29" s="4"/>
    </row>
    <row r="30" spans="1:18" x14ac:dyDescent="0.3">
      <c r="A30" s="12" t="str">
        <f>IF(Identificación!$B30="","",Identificación!$B30)</f>
        <v/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9"/>
      <c r="N30" s="4"/>
      <c r="O30" s="4"/>
      <c r="P30" s="4"/>
      <c r="Q30" s="4"/>
      <c r="R30" s="4"/>
    </row>
    <row r="31" spans="1:18" x14ac:dyDescent="0.3">
      <c r="A31" s="12" t="str">
        <f>IF(Identificación!$B31="","",Identificación!$B31)</f>
        <v/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9"/>
      <c r="N31" s="4"/>
      <c r="O31" s="4"/>
      <c r="P31" s="4"/>
      <c r="Q31" s="4"/>
      <c r="R31" s="4"/>
    </row>
    <row r="32" spans="1:18" x14ac:dyDescent="0.3">
      <c r="A32" s="12" t="str">
        <f>IF(Identificación!$B32="","",Identificación!$B32)</f>
        <v/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9"/>
      <c r="N32" s="4"/>
      <c r="O32" s="4"/>
      <c r="P32" s="4"/>
      <c r="Q32" s="4"/>
      <c r="R32" s="4"/>
    </row>
    <row r="33" spans="1:18" x14ac:dyDescent="0.3">
      <c r="A33" s="12" t="str">
        <f>IF(Identificación!$B33="","",Identificación!$B33)</f>
        <v/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9"/>
      <c r="N33" s="4"/>
      <c r="O33" s="4"/>
      <c r="P33" s="4"/>
      <c r="Q33" s="4"/>
      <c r="R33" s="4"/>
    </row>
    <row r="34" spans="1:18" x14ac:dyDescent="0.3">
      <c r="A34" s="12" t="str">
        <f>IF(Identificación!$B34="","",Identificación!$B34)</f>
        <v/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9"/>
      <c r="N34" s="4"/>
      <c r="O34" s="4"/>
      <c r="P34" s="4"/>
      <c r="Q34" s="4"/>
      <c r="R34" s="4"/>
    </row>
    <row r="35" spans="1:18" x14ac:dyDescent="0.3">
      <c r="A35" s="12" t="str">
        <f>IF(Identificación!$B35="","",Identificación!$B35)</f>
        <v/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9"/>
      <c r="N35" s="4"/>
      <c r="O35" s="4"/>
      <c r="P35" s="4"/>
      <c r="Q35" s="4"/>
      <c r="R35" s="4"/>
    </row>
    <row r="36" spans="1:18" x14ac:dyDescent="0.3">
      <c r="A36" s="12" t="str">
        <f>IF(Identificación!$B36="","",Identificación!$B36)</f>
        <v/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9"/>
      <c r="N36" s="4"/>
      <c r="O36" s="4"/>
      <c r="P36" s="4"/>
      <c r="Q36" s="4"/>
      <c r="R36" s="4"/>
    </row>
    <row r="37" spans="1:18" x14ac:dyDescent="0.3">
      <c r="A37" s="12" t="str">
        <f>IF(Identificación!$B37="","",Identificación!$B37)</f>
        <v/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9"/>
      <c r="N37" s="4"/>
      <c r="O37" s="4"/>
      <c r="P37" s="4"/>
      <c r="Q37" s="4"/>
      <c r="R37" s="4"/>
    </row>
    <row r="38" spans="1:18" x14ac:dyDescent="0.3">
      <c r="A38" s="12" t="str">
        <f>IF(Identificación!$B38="","",Identificación!$B38)</f>
        <v/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9"/>
      <c r="N38" s="4"/>
      <c r="O38" s="4"/>
      <c r="P38" s="4"/>
      <c r="Q38" s="4"/>
      <c r="R38" s="4"/>
    </row>
    <row r="39" spans="1:18" x14ac:dyDescent="0.3">
      <c r="A39" s="12" t="str">
        <f>IF(Identificación!$B39="","",Identificación!$B39)</f>
        <v/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9"/>
      <c r="N39" s="4"/>
      <c r="O39" s="4"/>
      <c r="P39" s="4"/>
      <c r="Q39" s="4"/>
      <c r="R39" s="4"/>
    </row>
    <row r="40" spans="1:18" x14ac:dyDescent="0.3">
      <c r="A40" s="12" t="str">
        <f>IF(Identificación!$B40="","",Identificación!$B40)</f>
        <v/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9"/>
      <c r="N40" s="4"/>
      <c r="O40" s="4"/>
      <c r="P40" s="4"/>
      <c r="Q40" s="4"/>
      <c r="R40" s="4"/>
    </row>
    <row r="41" spans="1:18" x14ac:dyDescent="0.3">
      <c r="A41" s="12" t="str">
        <f>IF(Identificación!$B41="","",Identificación!$B41)</f>
        <v/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9"/>
      <c r="N41" s="4"/>
      <c r="O41" s="4"/>
      <c r="P41" s="4"/>
      <c r="Q41" s="4"/>
      <c r="R41" s="4"/>
    </row>
    <row r="42" spans="1:18" x14ac:dyDescent="0.3">
      <c r="A42" s="12" t="str">
        <f>IF(Identificación!$B42="","",Identificación!$B42)</f>
        <v/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9"/>
      <c r="N42" s="4"/>
      <c r="O42" s="4"/>
      <c r="P42" s="4"/>
      <c r="Q42" s="4"/>
      <c r="R42" s="4"/>
    </row>
    <row r="43" spans="1:18" x14ac:dyDescent="0.3">
      <c r="A43" s="12" t="str">
        <f>IF(Identificación!$B43="","",Identificación!$B43)</f>
        <v/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9"/>
      <c r="N43" s="4"/>
      <c r="O43" s="4"/>
      <c r="P43" s="4"/>
      <c r="Q43" s="4"/>
      <c r="R43" s="4"/>
    </row>
    <row r="44" spans="1:18" x14ac:dyDescent="0.3">
      <c r="A44" s="12" t="str">
        <f>IF(Identificación!$B44="","",Identificación!$B44)</f>
        <v/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9"/>
      <c r="N44" s="4"/>
      <c r="O44" s="4"/>
      <c r="P44" s="4"/>
      <c r="Q44" s="4"/>
      <c r="R44" s="4"/>
    </row>
    <row r="45" spans="1:18" x14ac:dyDescent="0.3">
      <c r="A45" s="12" t="str">
        <f>IF(Identificación!$B45="","",Identificación!$B45)</f>
        <v/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9"/>
      <c r="N45" s="4"/>
      <c r="O45" s="4"/>
      <c r="P45" s="4"/>
      <c r="Q45" s="4"/>
      <c r="R45" s="4"/>
    </row>
    <row r="46" spans="1:18" x14ac:dyDescent="0.3">
      <c r="A46" s="12" t="str">
        <f>IF(Identificación!$B46="","",Identificación!$B46)</f>
        <v/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9"/>
      <c r="N46" s="4"/>
      <c r="O46" s="4"/>
      <c r="P46" s="4"/>
      <c r="Q46" s="4"/>
      <c r="R46" s="4"/>
    </row>
    <row r="47" spans="1:18" x14ac:dyDescent="0.3">
      <c r="A47" s="12" t="str">
        <f>IF(Identificación!$B47="","",Identificación!$B47)</f>
        <v/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9"/>
      <c r="N47" s="4"/>
      <c r="O47" s="4"/>
      <c r="P47" s="4"/>
      <c r="Q47" s="4"/>
      <c r="R47" s="4"/>
    </row>
    <row r="48" spans="1:18" x14ac:dyDescent="0.3">
      <c r="A48" s="12" t="str">
        <f>IF(Identificación!$B48="","",Identificación!$B48)</f>
        <v/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9"/>
      <c r="N48" s="4"/>
      <c r="O48" s="4"/>
      <c r="P48" s="4"/>
      <c r="Q48" s="4"/>
      <c r="R48" s="4"/>
    </row>
    <row r="49" spans="1:18" x14ac:dyDescent="0.3">
      <c r="A49" s="12" t="str">
        <f>IF(Identificación!$B49="","",Identificación!$B49)</f>
        <v/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9"/>
      <c r="N49" s="4"/>
      <c r="O49" s="4"/>
      <c r="P49" s="4"/>
      <c r="Q49" s="4"/>
      <c r="R49" s="4"/>
    </row>
    <row r="50" spans="1:18" x14ac:dyDescent="0.3">
      <c r="A50" s="12" t="str">
        <f>IF(Identificación!$B50="","",Identificación!$B50)</f>
        <v/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9"/>
      <c r="N50" s="4"/>
      <c r="O50" s="4"/>
      <c r="P50" s="4"/>
      <c r="Q50" s="4"/>
      <c r="R50" s="4"/>
    </row>
    <row r="51" spans="1:18" x14ac:dyDescent="0.3">
      <c r="A51" s="12" t="str">
        <f>IF(Identificación!$B51="","",Identificación!$B51)</f>
        <v/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9"/>
      <c r="N51" s="4"/>
      <c r="O51" s="4"/>
      <c r="P51" s="4"/>
      <c r="Q51" s="4"/>
      <c r="R51" s="4"/>
    </row>
  </sheetData>
  <sheetProtection algorithmName="SHA-512" hashValue="8qO4WPB+izll8hoQK2oigGc72Q7NskjLsUKPlmyaozHmzZV5dgHBJOJXANT24J8Smw9saCsItmbwDYTasvjpcw==" saltValue="J+NY9jOMgfbevptHbcP+Tg==" spinCount="100000" sheet="1" objects="1" scenarios="1" selectLockedCells="1" sort="0" autoFilter="0"/>
  <dataValidations count="6">
    <dataValidation type="list" allowBlank="1" showInputMessage="1" showErrorMessage="1" sqref="C2:C51" xr:uid="{9EF2D557-F36E-4166-96AD-258F2FD37BED}">
      <formula1>EjePNMC</formula1>
    </dataValidation>
    <dataValidation type="list" allowBlank="1" showInputMessage="1" showErrorMessage="1" sqref="J2:J51" xr:uid="{18063637-6D07-428C-8D92-BAA6557848FB}">
      <formula1>NivelAMB</formula1>
    </dataValidation>
    <dataValidation type="whole" operator="greaterThanOrEqual" allowBlank="1" showInputMessage="1" showErrorMessage="1" sqref="M2:M51" xr:uid="{BF4A26E2-B939-4EAC-9BE6-95C66045F05E}">
      <formula1>0</formula1>
    </dataValidation>
    <dataValidation type="list" allowBlank="1" showInputMessage="1" showErrorMessage="1" sqref="N2:N51" xr:uid="{4BEAD2C5-8516-4A7D-A622-6F8590D06B1A}">
      <formula1>Enfoques</formula1>
    </dataValidation>
    <dataValidation type="list" allowBlank="1" showInputMessage="1" showErrorMessage="1" sqref="P2:P51" xr:uid="{C17D1C9A-DDF2-42DC-8148-86D9F71E9D74}">
      <formula1>Cronograma</formula1>
    </dataValidation>
    <dataValidation type="list" allowBlank="1" showInputMessage="1" showErrorMessage="1" sqref="Q2:Q51" xr:uid="{0548ADFD-A4D2-46BA-BC5C-A64143437B6E}">
      <formula1>EstadoPropuesta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mponente" error="Selecciona primero el Eje PNMC en C; luego un componente válido para ese Eje." promptTitle="Componente PNMC" prompt="Lista filtrada según el Eje PNMC seleccionado." xr:uid="{D280E041-F309-493A-ABC9-974E130B8B6F}">
          <x14:formula1>
            <xm:f>INDIRECT(VLOOKUP($C2,Variables!$BG$2:$BH$4,2,FALSE))</xm:f>
          </x14:formula1>
          <xm:sqref>D2:D51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750-7F4B-4233-B67D-6C0837EFA998}">
  <sheetPr codeName="Hoja5">
    <tabColor theme="7"/>
  </sheetPr>
  <dimension ref="A1:AY51"/>
  <sheetViews>
    <sheetView workbookViewId="0">
      <pane ySplit="1" topLeftCell="A2" activePane="bottomLeft" state="frozen"/>
      <selection activeCell="C1" sqref="C1"/>
      <selection pane="bottomLeft" activeCell="H2" sqref="B2:H3"/>
    </sheetView>
  </sheetViews>
  <sheetFormatPr baseColWidth="10" defaultColWidth="0" defaultRowHeight="13.2" zeroHeight="1" x14ac:dyDescent="0.3"/>
  <cols>
    <col min="1" max="2" width="28.109375" style="2" customWidth="1"/>
    <col min="3" max="3" width="40.109375" style="2" customWidth="1"/>
    <col min="4" max="4" width="40.77734375" style="2" customWidth="1"/>
    <col min="5" max="7" width="27.77734375" style="2" customWidth="1"/>
    <col min="8" max="8" width="58.33203125" style="2" customWidth="1"/>
    <col min="9" max="51" width="11.88671875" style="2" hidden="1" customWidth="1"/>
    <col min="52" max="16384" width="11.5546875" style="2" hidden="1"/>
  </cols>
  <sheetData>
    <row r="1" spans="1:8" ht="42" customHeight="1" x14ac:dyDescent="0.3">
      <c r="A1" s="11" t="s">
        <v>107</v>
      </c>
      <c r="B1" s="11" t="s">
        <v>141</v>
      </c>
      <c r="C1" s="11" t="s">
        <v>1320</v>
      </c>
      <c r="D1" s="11" t="s">
        <v>142</v>
      </c>
      <c r="E1" s="11" t="s">
        <v>1214</v>
      </c>
      <c r="F1" s="11" t="s">
        <v>143</v>
      </c>
      <c r="G1" s="11" t="s">
        <v>144</v>
      </c>
      <c r="H1" s="11" t="s">
        <v>110</v>
      </c>
    </row>
    <row r="2" spans="1:8" x14ac:dyDescent="0.3">
      <c r="A2" s="12" t="str">
        <f>IF(Identificación!$B2="","",Identificación!$B2)</f>
        <v/>
      </c>
      <c r="B2" s="4"/>
      <c r="C2" s="1"/>
      <c r="D2" s="1"/>
      <c r="E2" s="4"/>
      <c r="F2" s="8"/>
      <c r="G2" s="8"/>
      <c r="H2" s="4"/>
    </row>
    <row r="3" spans="1:8" x14ac:dyDescent="0.3">
      <c r="A3" s="12" t="str">
        <f>IF(Identificación!$B3="","",Identificación!$B3)</f>
        <v/>
      </c>
      <c r="B3" s="4"/>
      <c r="C3" s="1"/>
      <c r="D3" s="1"/>
      <c r="E3" s="4"/>
      <c r="F3" s="8"/>
      <c r="G3" s="8"/>
      <c r="H3" s="4"/>
    </row>
    <row r="4" spans="1:8" x14ac:dyDescent="0.3">
      <c r="A4" s="12" t="str">
        <f>IF(Identificación!$B4="","",Identificación!$B4)</f>
        <v/>
      </c>
      <c r="B4" s="4"/>
      <c r="C4" s="1"/>
      <c r="D4" s="1"/>
      <c r="E4" s="4"/>
      <c r="F4" s="8"/>
      <c r="G4" s="8"/>
      <c r="H4" s="4"/>
    </row>
    <row r="5" spans="1:8" x14ac:dyDescent="0.3">
      <c r="A5" s="12" t="str">
        <f>IF(Identificación!$B5="","",Identificación!$B5)</f>
        <v/>
      </c>
      <c r="B5" s="4"/>
      <c r="C5" s="1"/>
      <c r="D5" s="1"/>
      <c r="E5" s="4"/>
      <c r="F5" s="8"/>
      <c r="G5" s="8"/>
      <c r="H5" s="4"/>
    </row>
    <row r="6" spans="1:8" x14ac:dyDescent="0.3">
      <c r="A6" s="12" t="str">
        <f>IF(Identificación!$B6="","",Identificación!$B6)</f>
        <v/>
      </c>
      <c r="B6" s="4"/>
      <c r="C6" s="1"/>
      <c r="D6" s="1"/>
      <c r="E6" s="4"/>
      <c r="F6" s="8"/>
      <c r="G6" s="8"/>
      <c r="H6" s="4"/>
    </row>
    <row r="7" spans="1:8" x14ac:dyDescent="0.3">
      <c r="A7" s="12" t="str">
        <f>IF(Identificación!$B7="","",Identificación!$B7)</f>
        <v/>
      </c>
      <c r="B7" s="4"/>
      <c r="C7" s="1"/>
      <c r="D7" s="1"/>
      <c r="E7" s="4"/>
      <c r="F7" s="8"/>
      <c r="G7" s="8"/>
      <c r="H7" s="4"/>
    </row>
    <row r="8" spans="1:8" x14ac:dyDescent="0.3">
      <c r="A8" s="12" t="str">
        <f>IF(Identificación!$B8="","",Identificación!$B8)</f>
        <v/>
      </c>
      <c r="B8" s="4"/>
      <c r="C8" s="1"/>
      <c r="D8" s="1"/>
      <c r="E8" s="4"/>
      <c r="F8" s="8"/>
      <c r="G8" s="8"/>
      <c r="H8" s="4"/>
    </row>
    <row r="9" spans="1:8" x14ac:dyDescent="0.3">
      <c r="A9" s="12" t="str">
        <f>IF(Identificación!$B9="","",Identificación!$B9)</f>
        <v/>
      </c>
      <c r="B9" s="4"/>
      <c r="C9" s="1"/>
      <c r="D9" s="1"/>
      <c r="E9" s="4"/>
      <c r="F9" s="8"/>
      <c r="G9" s="8"/>
      <c r="H9" s="4"/>
    </row>
    <row r="10" spans="1:8" x14ac:dyDescent="0.3">
      <c r="A10" s="12" t="str">
        <f>IF(Identificación!$B10="","",Identificación!$B10)</f>
        <v/>
      </c>
      <c r="B10" s="4"/>
      <c r="C10" s="1"/>
      <c r="D10" s="1"/>
      <c r="E10" s="4"/>
      <c r="F10" s="8"/>
      <c r="G10" s="8"/>
      <c r="H10" s="4"/>
    </row>
    <row r="11" spans="1:8" x14ac:dyDescent="0.3">
      <c r="A11" s="12" t="str">
        <f>IF(Identificación!$B11="","",Identificación!$B11)</f>
        <v/>
      </c>
      <c r="B11" s="4"/>
      <c r="C11" s="1"/>
      <c r="D11" s="1"/>
      <c r="E11" s="4"/>
      <c r="F11" s="8"/>
      <c r="G11" s="8"/>
      <c r="H11" s="4"/>
    </row>
    <row r="12" spans="1:8" x14ac:dyDescent="0.3">
      <c r="A12" s="12" t="str">
        <f>IF(Identificación!$B12="","",Identificación!$B12)</f>
        <v/>
      </c>
      <c r="B12" s="4"/>
      <c r="C12" s="1"/>
      <c r="D12" s="1"/>
      <c r="E12" s="4"/>
      <c r="F12" s="8"/>
      <c r="G12" s="8"/>
      <c r="H12" s="4"/>
    </row>
    <row r="13" spans="1:8" x14ac:dyDescent="0.3">
      <c r="A13" s="12" t="str">
        <f>IF(Identificación!$B13="","",Identificación!$B13)</f>
        <v/>
      </c>
      <c r="B13" s="4"/>
      <c r="C13" s="1"/>
      <c r="D13" s="1"/>
      <c r="E13" s="4"/>
      <c r="F13" s="8"/>
      <c r="G13" s="8"/>
      <c r="H13" s="4"/>
    </row>
    <row r="14" spans="1:8" x14ac:dyDescent="0.3">
      <c r="A14" s="12" t="str">
        <f>IF(Identificación!$B14="","",Identificación!$B14)</f>
        <v/>
      </c>
      <c r="B14" s="4"/>
      <c r="C14" s="1"/>
      <c r="D14" s="1"/>
      <c r="E14" s="4"/>
      <c r="F14" s="8"/>
      <c r="G14" s="8"/>
      <c r="H14" s="4"/>
    </row>
    <row r="15" spans="1:8" x14ac:dyDescent="0.3">
      <c r="A15" s="12" t="str">
        <f>IF(Identificación!$B15="","",Identificación!$B15)</f>
        <v/>
      </c>
      <c r="B15" s="4"/>
      <c r="C15" s="1"/>
      <c r="D15" s="1"/>
      <c r="E15" s="4"/>
      <c r="F15" s="8"/>
      <c r="G15" s="8"/>
      <c r="H15" s="4"/>
    </row>
    <row r="16" spans="1:8" x14ac:dyDescent="0.3">
      <c r="A16" s="12" t="str">
        <f>IF(Identificación!$B16="","",Identificación!$B16)</f>
        <v/>
      </c>
      <c r="B16" s="4"/>
      <c r="C16" s="1"/>
      <c r="D16" s="1"/>
      <c r="E16" s="4"/>
      <c r="F16" s="8"/>
      <c r="G16" s="8"/>
      <c r="H16" s="4"/>
    </row>
    <row r="17" spans="1:8" x14ac:dyDescent="0.3">
      <c r="A17" s="12" t="str">
        <f>IF(Identificación!$B17="","",Identificación!$B17)</f>
        <v/>
      </c>
      <c r="B17" s="4"/>
      <c r="C17" s="1"/>
      <c r="D17" s="1"/>
      <c r="E17" s="4"/>
      <c r="F17" s="8"/>
      <c r="G17" s="8"/>
      <c r="H17" s="4"/>
    </row>
    <row r="18" spans="1:8" x14ac:dyDescent="0.3">
      <c r="A18" s="12" t="str">
        <f>IF(Identificación!$B18="","",Identificación!$B18)</f>
        <v/>
      </c>
      <c r="B18" s="4"/>
      <c r="C18" s="1"/>
      <c r="D18" s="1"/>
      <c r="E18" s="4"/>
      <c r="F18" s="8"/>
      <c r="G18" s="8"/>
      <c r="H18" s="4"/>
    </row>
    <row r="19" spans="1:8" x14ac:dyDescent="0.3">
      <c r="A19" s="12" t="str">
        <f>IF(Identificación!$B19="","",Identificación!$B19)</f>
        <v/>
      </c>
      <c r="B19" s="4"/>
      <c r="C19" s="1"/>
      <c r="D19" s="1"/>
      <c r="E19" s="4"/>
      <c r="F19" s="8"/>
      <c r="G19" s="8"/>
      <c r="H19" s="4"/>
    </row>
    <row r="20" spans="1:8" x14ac:dyDescent="0.3">
      <c r="A20" s="12" t="str">
        <f>IF(Identificación!$B20="","",Identificación!$B20)</f>
        <v/>
      </c>
      <c r="B20" s="4"/>
      <c r="C20" s="1"/>
      <c r="D20" s="1"/>
      <c r="E20" s="4"/>
      <c r="F20" s="8"/>
      <c r="G20" s="8"/>
      <c r="H20" s="4"/>
    </row>
    <row r="21" spans="1:8" x14ac:dyDescent="0.3">
      <c r="A21" s="12" t="str">
        <f>IF(Identificación!$B21="","",Identificación!$B21)</f>
        <v/>
      </c>
      <c r="B21" s="4"/>
      <c r="C21" s="1"/>
      <c r="D21" s="1"/>
      <c r="E21" s="4"/>
      <c r="F21" s="8"/>
      <c r="G21" s="8"/>
      <c r="H21" s="4"/>
    </row>
    <row r="22" spans="1:8" x14ac:dyDescent="0.3">
      <c r="A22" s="12" t="str">
        <f>IF(Identificación!$B22="","",Identificación!$B22)</f>
        <v/>
      </c>
      <c r="B22" s="4"/>
      <c r="C22" s="1"/>
      <c r="D22" s="1"/>
      <c r="E22" s="4"/>
      <c r="F22" s="8"/>
      <c r="G22" s="8"/>
      <c r="H22" s="4"/>
    </row>
    <row r="23" spans="1:8" x14ac:dyDescent="0.3">
      <c r="A23" s="12" t="str">
        <f>IF(Identificación!$B23="","",Identificación!$B23)</f>
        <v/>
      </c>
      <c r="B23" s="4"/>
      <c r="C23" s="1"/>
      <c r="D23" s="1"/>
      <c r="E23" s="4"/>
      <c r="F23" s="8"/>
      <c r="G23" s="8"/>
      <c r="H23" s="4"/>
    </row>
    <row r="24" spans="1:8" x14ac:dyDescent="0.3">
      <c r="A24" s="12" t="str">
        <f>IF(Identificación!$B24="","",Identificación!$B24)</f>
        <v/>
      </c>
      <c r="B24" s="4"/>
      <c r="C24" s="1"/>
      <c r="D24" s="1"/>
      <c r="E24" s="4"/>
      <c r="F24" s="8"/>
      <c r="G24" s="8"/>
      <c r="H24" s="4"/>
    </row>
    <row r="25" spans="1:8" x14ac:dyDescent="0.3">
      <c r="A25" s="12" t="str">
        <f>IF(Identificación!$B25="","",Identificación!$B25)</f>
        <v/>
      </c>
      <c r="B25" s="4"/>
      <c r="C25" s="1"/>
      <c r="D25" s="1"/>
      <c r="E25" s="4"/>
      <c r="F25" s="8"/>
      <c r="G25" s="8"/>
      <c r="H25" s="4"/>
    </row>
    <row r="26" spans="1:8" x14ac:dyDescent="0.3">
      <c r="A26" s="12" t="str">
        <f>IF(Identificación!$B26="","",Identificación!$B26)</f>
        <v/>
      </c>
      <c r="B26" s="4"/>
      <c r="C26" s="1"/>
      <c r="D26" s="1"/>
      <c r="E26" s="4"/>
      <c r="F26" s="8"/>
      <c r="G26" s="8"/>
      <c r="H26" s="4"/>
    </row>
    <row r="27" spans="1:8" x14ac:dyDescent="0.3">
      <c r="A27" s="12" t="str">
        <f>IF(Identificación!$B27="","",Identificación!$B27)</f>
        <v/>
      </c>
      <c r="B27" s="4"/>
      <c r="C27" s="1"/>
      <c r="D27" s="1"/>
      <c r="E27" s="4"/>
      <c r="F27" s="8"/>
      <c r="G27" s="8"/>
      <c r="H27" s="4"/>
    </row>
    <row r="28" spans="1:8" x14ac:dyDescent="0.3">
      <c r="A28" s="12" t="str">
        <f>IF(Identificación!$B28="","",Identificación!$B28)</f>
        <v/>
      </c>
      <c r="B28" s="4"/>
      <c r="C28" s="1"/>
      <c r="D28" s="1"/>
      <c r="E28" s="4"/>
      <c r="F28" s="8"/>
      <c r="G28" s="8"/>
      <c r="H28" s="4"/>
    </row>
    <row r="29" spans="1:8" x14ac:dyDescent="0.3">
      <c r="A29" s="12" t="str">
        <f>IF(Identificación!$B29="","",Identificación!$B29)</f>
        <v/>
      </c>
      <c r="B29" s="4"/>
      <c r="C29" s="1"/>
      <c r="D29" s="1"/>
      <c r="E29" s="4"/>
      <c r="F29" s="8"/>
      <c r="G29" s="8"/>
      <c r="H29" s="4"/>
    </row>
    <row r="30" spans="1:8" x14ac:dyDescent="0.3">
      <c r="A30" s="12" t="str">
        <f>IF(Identificación!$B30="","",Identificación!$B30)</f>
        <v/>
      </c>
      <c r="B30" s="4"/>
      <c r="C30" s="1"/>
      <c r="D30" s="1"/>
      <c r="E30" s="4"/>
      <c r="F30" s="8"/>
      <c r="G30" s="8"/>
      <c r="H30" s="4"/>
    </row>
    <row r="31" spans="1:8" x14ac:dyDescent="0.3">
      <c r="A31" s="12" t="str">
        <f>IF(Identificación!$B31="","",Identificación!$B31)</f>
        <v/>
      </c>
      <c r="B31" s="4"/>
      <c r="C31" s="1"/>
      <c r="D31" s="1"/>
      <c r="E31" s="4"/>
      <c r="F31" s="8"/>
      <c r="G31" s="8"/>
      <c r="H31" s="4"/>
    </row>
    <row r="32" spans="1:8" x14ac:dyDescent="0.3">
      <c r="A32" s="12" t="str">
        <f>IF(Identificación!$B32="","",Identificación!$B32)</f>
        <v/>
      </c>
      <c r="B32" s="4"/>
      <c r="C32" s="1"/>
      <c r="D32" s="1"/>
      <c r="E32" s="4"/>
      <c r="F32" s="8"/>
      <c r="G32" s="8"/>
      <c r="H32" s="4"/>
    </row>
    <row r="33" spans="1:8" x14ac:dyDescent="0.3">
      <c r="A33" s="12" t="str">
        <f>IF(Identificación!$B33="","",Identificación!$B33)</f>
        <v/>
      </c>
      <c r="B33" s="4"/>
      <c r="C33" s="1"/>
      <c r="D33" s="1"/>
      <c r="E33" s="4"/>
      <c r="F33" s="8"/>
      <c r="G33" s="8"/>
      <c r="H33" s="4"/>
    </row>
    <row r="34" spans="1:8" x14ac:dyDescent="0.3">
      <c r="A34" s="12" t="str">
        <f>IF(Identificación!$B34="","",Identificación!$B34)</f>
        <v/>
      </c>
      <c r="B34" s="4"/>
      <c r="C34" s="1"/>
      <c r="D34" s="1"/>
      <c r="E34" s="4"/>
      <c r="F34" s="8"/>
      <c r="G34" s="8"/>
      <c r="H34" s="4"/>
    </row>
    <row r="35" spans="1:8" x14ac:dyDescent="0.3">
      <c r="A35" s="12" t="str">
        <f>IF(Identificación!$B35="","",Identificación!$B35)</f>
        <v/>
      </c>
      <c r="B35" s="4"/>
      <c r="C35" s="1"/>
      <c r="D35" s="1"/>
      <c r="E35" s="4"/>
      <c r="F35" s="8"/>
      <c r="G35" s="8"/>
      <c r="H35" s="4"/>
    </row>
    <row r="36" spans="1:8" x14ac:dyDescent="0.3">
      <c r="A36" s="12" t="str">
        <f>IF(Identificación!$B36="","",Identificación!$B36)</f>
        <v/>
      </c>
      <c r="B36" s="4"/>
      <c r="C36" s="1"/>
      <c r="D36" s="1"/>
      <c r="E36" s="4"/>
      <c r="F36" s="8"/>
      <c r="G36" s="8"/>
      <c r="H36" s="4"/>
    </row>
    <row r="37" spans="1:8" x14ac:dyDescent="0.3">
      <c r="A37" s="12" t="str">
        <f>IF(Identificación!$B37="","",Identificación!$B37)</f>
        <v/>
      </c>
      <c r="B37" s="4"/>
      <c r="C37" s="1"/>
      <c r="D37" s="1"/>
      <c r="E37" s="4"/>
      <c r="F37" s="8"/>
      <c r="G37" s="8"/>
      <c r="H37" s="4"/>
    </row>
    <row r="38" spans="1:8" x14ac:dyDescent="0.3">
      <c r="A38" s="12" t="str">
        <f>IF(Identificación!$B38="","",Identificación!$B38)</f>
        <v/>
      </c>
      <c r="B38" s="4"/>
      <c r="C38" s="1"/>
      <c r="D38" s="1"/>
      <c r="E38" s="4"/>
      <c r="F38" s="8"/>
      <c r="G38" s="8"/>
      <c r="H38" s="4"/>
    </row>
    <row r="39" spans="1:8" x14ac:dyDescent="0.3">
      <c r="A39" s="12" t="str">
        <f>IF(Identificación!$B39="","",Identificación!$B39)</f>
        <v/>
      </c>
      <c r="B39" s="4"/>
      <c r="C39" s="1"/>
      <c r="D39" s="1"/>
      <c r="E39" s="4"/>
      <c r="F39" s="8"/>
      <c r="G39" s="8"/>
      <c r="H39" s="4"/>
    </row>
    <row r="40" spans="1:8" x14ac:dyDescent="0.3">
      <c r="A40" s="12" t="str">
        <f>IF(Identificación!$B40="","",Identificación!$B40)</f>
        <v/>
      </c>
      <c r="B40" s="4"/>
      <c r="C40" s="1"/>
      <c r="D40" s="1"/>
      <c r="E40" s="4"/>
      <c r="F40" s="8"/>
      <c r="G40" s="8"/>
      <c r="H40" s="4"/>
    </row>
    <row r="41" spans="1:8" x14ac:dyDescent="0.3">
      <c r="A41" s="12" t="str">
        <f>IF(Identificación!$B41="","",Identificación!$B41)</f>
        <v/>
      </c>
      <c r="B41" s="4"/>
      <c r="C41" s="1"/>
      <c r="D41" s="1"/>
      <c r="E41" s="4"/>
      <c r="F41" s="8"/>
      <c r="G41" s="8"/>
      <c r="H41" s="4"/>
    </row>
    <row r="42" spans="1:8" x14ac:dyDescent="0.3">
      <c r="A42" s="12" t="str">
        <f>IF(Identificación!$B42="","",Identificación!$B42)</f>
        <v/>
      </c>
      <c r="B42" s="4"/>
      <c r="C42" s="1"/>
      <c r="D42" s="1"/>
      <c r="E42" s="4"/>
      <c r="F42" s="8"/>
      <c r="G42" s="8"/>
      <c r="H42" s="4"/>
    </row>
    <row r="43" spans="1:8" x14ac:dyDescent="0.3">
      <c r="A43" s="12" t="str">
        <f>IF(Identificación!$B43="","",Identificación!$B43)</f>
        <v/>
      </c>
      <c r="B43" s="4"/>
      <c r="C43" s="1"/>
      <c r="D43" s="1"/>
      <c r="E43" s="4"/>
      <c r="F43" s="8"/>
      <c r="G43" s="8"/>
      <c r="H43" s="4"/>
    </row>
    <row r="44" spans="1:8" x14ac:dyDescent="0.3">
      <c r="A44" s="12" t="str">
        <f>IF(Identificación!$B44="","",Identificación!$B44)</f>
        <v/>
      </c>
      <c r="B44" s="4"/>
      <c r="C44" s="1"/>
      <c r="D44" s="1"/>
      <c r="E44" s="4"/>
      <c r="F44" s="8"/>
      <c r="G44" s="8"/>
      <c r="H44" s="4"/>
    </row>
    <row r="45" spans="1:8" x14ac:dyDescent="0.3">
      <c r="A45" s="12" t="str">
        <f>IF(Identificación!$B45="","",Identificación!$B45)</f>
        <v/>
      </c>
      <c r="B45" s="4"/>
      <c r="C45" s="1"/>
      <c r="D45" s="1"/>
      <c r="E45" s="4"/>
      <c r="F45" s="8"/>
      <c r="G45" s="8"/>
      <c r="H45" s="4"/>
    </row>
    <row r="46" spans="1:8" x14ac:dyDescent="0.3">
      <c r="A46" s="12" t="str">
        <f>IF(Identificación!$B46="","",Identificación!$B46)</f>
        <v/>
      </c>
      <c r="B46" s="4"/>
      <c r="C46" s="1"/>
      <c r="D46" s="1"/>
      <c r="E46" s="4"/>
      <c r="F46" s="8"/>
      <c r="G46" s="8"/>
      <c r="H46" s="4"/>
    </row>
    <row r="47" spans="1:8" x14ac:dyDescent="0.3">
      <c r="A47" s="12" t="str">
        <f>IF(Identificación!$B47="","",Identificación!$B47)</f>
        <v/>
      </c>
      <c r="B47" s="4"/>
      <c r="C47" s="1"/>
      <c r="D47" s="1"/>
      <c r="E47" s="4"/>
      <c r="F47" s="8"/>
      <c r="G47" s="8"/>
      <c r="H47" s="4"/>
    </row>
    <row r="48" spans="1:8" x14ac:dyDescent="0.3">
      <c r="A48" s="12" t="str">
        <f>IF(Identificación!$B48="","",Identificación!$B48)</f>
        <v/>
      </c>
      <c r="B48" s="4"/>
      <c r="C48" s="1"/>
      <c r="D48" s="1"/>
      <c r="E48" s="4"/>
      <c r="F48" s="8"/>
      <c r="G48" s="8"/>
      <c r="H48" s="4"/>
    </row>
    <row r="49" spans="1:8" x14ac:dyDescent="0.3">
      <c r="A49" s="12" t="str">
        <f>IF(Identificación!$B49="","",Identificación!$B49)</f>
        <v/>
      </c>
      <c r="B49" s="4"/>
      <c r="C49" s="1"/>
      <c r="D49" s="1"/>
      <c r="E49" s="4"/>
      <c r="F49" s="8"/>
      <c r="G49" s="8"/>
      <c r="H49" s="4"/>
    </row>
    <row r="50" spans="1:8" x14ac:dyDescent="0.3">
      <c r="A50" s="12" t="str">
        <f>IF(Identificación!$B50="","",Identificación!$B50)</f>
        <v/>
      </c>
      <c r="B50" s="4"/>
      <c r="C50" s="1"/>
      <c r="D50" s="1"/>
      <c r="E50" s="4"/>
      <c r="F50" s="8"/>
      <c r="G50" s="8"/>
      <c r="H50" s="4"/>
    </row>
    <row r="51" spans="1:8" x14ac:dyDescent="0.3">
      <c r="A51" s="12" t="str">
        <f>IF(Identificación!$B51="","",Identificación!$B51)</f>
        <v/>
      </c>
      <c r="B51" s="4"/>
      <c r="C51" s="1"/>
      <c r="D51" s="1"/>
      <c r="E51" s="4"/>
      <c r="F51" s="8"/>
      <c r="G51" s="8"/>
      <c r="H51" s="4"/>
    </row>
  </sheetData>
  <sheetProtection algorithmName="SHA-512" hashValue="ttlouZkcEvfzJaH2HObzYPArOicMoKwG8KyzFTXoiuWxCAJr2BJx83d5xJywZ82NUEj02bnUicRtwA0kwwp72Q==" saltValue="euge0v1bezI1FYlPpW68oA==" spinCount="100000" sheet="1" objects="1" scenarios="1" selectLockedCells="1" sort="0" autoFilter="0"/>
  <dataValidations count="4">
    <dataValidation type="list" allowBlank="1" showInputMessage="1" showErrorMessage="1" sqref="E2:E51" xr:uid="{D462CB11-C92B-4979-B32D-6C6494EECFAA}">
      <formula1>NivelTerritorial</formula1>
    </dataValidation>
    <dataValidation type="textLength" allowBlank="1" showInputMessage="1" showErrorMessage="1" sqref="F2:F51" xr:uid="{AD94AAA9-9F65-4DBC-B21D-DB237E669ED6}">
      <formula1>7</formula1>
      <formula2>20</formula2>
    </dataValidation>
    <dataValidation type="custom" allowBlank="1" showInputMessage="1" showErrorMessage="1" sqref="G2:G51" xr:uid="{25FA0340-D502-4854-9E63-61C401E2E2C7}">
      <formula1>AND(ISNUMBER(SEARCH("@",G2)),ISNUMBER(SEARCH(".",G2)),LEN(G2)&gt;=5)</formula1>
    </dataValidation>
    <dataValidation type="list" allowBlank="1" showInputMessage="1" showErrorMessage="1" errorTitle="Categoría" error="Selecciona una de las 4 categorías." promptTitle="Categoría de agente" prompt="Selección única. La lista de Actor específico (col D) se filtrará según esta categoría." sqref="C2:C51" xr:uid="{24624980-8C0D-4E10-9939-A91C9957702D}">
      <formula1>TiposAgente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ctor" error="Selecciona primero la categoría en C; luego el actor de la lista filtrada." promptTitle="Actor específico (multi)" prompt="Selección múltiple. Cada clic agrega; volver a hacerlo quita. Requiere .xlsm con macro habilitada." xr:uid="{0E8ED006-E994-4899-82A6-F18C8460DC96}">
          <x14:formula1>
            <xm:f>INDIRECT(VLOOKUP($C2,Variables!$BB$2:$BC$5,2,FALSE))</xm:f>
          </x14:formula1>
          <xm:sqref>D2:D51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120B2-4B47-46CC-B807-EED658D5B5F7}">
  <sheetPr codeName="Hoja6">
    <tabColor rgb="FF002060"/>
  </sheetPr>
  <dimension ref="A1:AZ100"/>
  <sheetViews>
    <sheetView workbookViewId="0">
      <pane ySplit="2" topLeftCell="A3" activePane="bottomLeft" state="frozen"/>
      <selection activeCell="C1" sqref="C1"/>
      <selection pane="bottomLeft" activeCell="A3" sqref="A3"/>
    </sheetView>
  </sheetViews>
  <sheetFormatPr baseColWidth="10" defaultColWidth="0" defaultRowHeight="13.2" zeroHeight="1" x14ac:dyDescent="0.3"/>
  <cols>
    <col min="1" max="1" width="22.21875" style="2" customWidth="1"/>
    <col min="2" max="2" width="40.21875" style="2" customWidth="1"/>
    <col min="3" max="3" width="35.33203125" style="2" customWidth="1"/>
    <col min="4" max="4" width="22.21875" style="2" customWidth="1"/>
    <col min="5" max="5" width="16.77734375" style="2" customWidth="1"/>
    <col min="6" max="6" width="40.77734375" style="2" customWidth="1"/>
    <col min="7" max="7" width="16.77734375" style="2" customWidth="1"/>
    <col min="8" max="8" width="40.77734375" style="2" customWidth="1"/>
    <col min="9" max="9" width="16.77734375" style="2" customWidth="1"/>
    <col min="10" max="10" width="40.77734375" style="2" customWidth="1"/>
    <col min="11" max="11" width="16.77734375" style="2" customWidth="1"/>
    <col min="12" max="12" width="40.77734375" style="2" customWidth="1"/>
    <col min="13" max="13" width="16.77734375" style="2" customWidth="1"/>
    <col min="14" max="14" width="40.77734375" style="2" customWidth="1"/>
    <col min="15" max="15" width="16.77734375" style="2" customWidth="1"/>
    <col min="16" max="16" width="40.77734375" style="2" customWidth="1"/>
    <col min="17" max="17" width="16.77734375" style="2" customWidth="1"/>
    <col min="18" max="18" width="40.77734375" style="2" customWidth="1"/>
    <col min="19" max="19" width="16.77734375" style="2" customWidth="1"/>
    <col min="20" max="20" width="40.77734375" style="2" customWidth="1"/>
    <col min="21" max="21" width="16.77734375" style="2" customWidth="1"/>
    <col min="22" max="22" width="40.77734375" style="2" customWidth="1"/>
    <col min="23" max="23" width="16.77734375" style="2" customWidth="1"/>
    <col min="24" max="24" width="40.77734375" style="2" customWidth="1"/>
    <col min="25" max="25" width="16.77734375" style="2" customWidth="1"/>
    <col min="26" max="26" width="40.77734375" style="2" customWidth="1"/>
    <col min="27" max="27" width="16.77734375" style="2" customWidth="1"/>
    <col min="28" max="28" width="40.77734375" style="2" customWidth="1"/>
    <col min="29" max="30" width="14.77734375" style="2" customWidth="1"/>
    <col min="31" max="31" width="20.33203125" style="2" customWidth="1"/>
    <col min="32" max="32" width="11.109375" style="2" customWidth="1"/>
    <col min="33" max="33" width="45.6640625" style="2" customWidth="1"/>
    <col min="34" max="52" width="11.88671875" style="2" hidden="1" customWidth="1"/>
    <col min="53" max="16384" width="11.5546875" style="2" hidden="1"/>
  </cols>
  <sheetData>
    <row r="1" spans="1:33" ht="28.05" customHeight="1" x14ac:dyDescent="0.3">
      <c r="A1" s="13"/>
      <c r="B1" s="13"/>
      <c r="C1" s="13"/>
      <c r="D1" s="13"/>
      <c r="E1" s="35" t="s">
        <v>1235</v>
      </c>
      <c r="F1" s="35"/>
      <c r="G1" s="36" t="s">
        <v>1236</v>
      </c>
      <c r="H1" s="36"/>
      <c r="I1" s="37" t="s">
        <v>1237</v>
      </c>
      <c r="J1" s="37"/>
      <c r="K1" s="38" t="s">
        <v>1238</v>
      </c>
      <c r="L1" s="38"/>
      <c r="M1" s="39" t="s">
        <v>1239</v>
      </c>
      <c r="N1" s="39"/>
      <c r="O1" s="40" t="s">
        <v>1240</v>
      </c>
      <c r="P1" s="40"/>
      <c r="Q1" s="41" t="s">
        <v>1241</v>
      </c>
      <c r="R1" s="41"/>
      <c r="S1" s="35" t="s">
        <v>1242</v>
      </c>
      <c r="T1" s="35"/>
      <c r="U1" s="36" t="s">
        <v>1243</v>
      </c>
      <c r="V1" s="36"/>
      <c r="W1" s="37" t="s">
        <v>1244</v>
      </c>
      <c r="X1" s="37"/>
      <c r="Y1" s="38" t="s">
        <v>1245</v>
      </c>
      <c r="Z1" s="38"/>
      <c r="AA1" s="34" t="s">
        <v>1246</v>
      </c>
      <c r="AB1" s="34"/>
      <c r="AC1" s="14"/>
      <c r="AD1" s="14"/>
      <c r="AE1" s="14"/>
      <c r="AF1" s="14"/>
      <c r="AG1" s="14"/>
    </row>
    <row r="2" spans="1:33" ht="40.049999999999997" customHeight="1" x14ac:dyDescent="0.3">
      <c r="A2" s="11" t="s">
        <v>107</v>
      </c>
      <c r="B2" s="11" t="s">
        <v>145</v>
      </c>
      <c r="C2" s="11" t="s">
        <v>1234</v>
      </c>
      <c r="D2" s="11" t="s">
        <v>20</v>
      </c>
      <c r="E2" s="15" t="s">
        <v>1247</v>
      </c>
      <c r="F2" s="15" t="s">
        <v>1248</v>
      </c>
      <c r="G2" s="16" t="s">
        <v>1249</v>
      </c>
      <c r="H2" s="16" t="s">
        <v>1250</v>
      </c>
      <c r="I2" s="17" t="s">
        <v>1251</v>
      </c>
      <c r="J2" s="17" t="s">
        <v>1252</v>
      </c>
      <c r="K2" s="18" t="s">
        <v>1253</v>
      </c>
      <c r="L2" s="18" t="s">
        <v>1254</v>
      </c>
      <c r="M2" s="19" t="s">
        <v>1255</v>
      </c>
      <c r="N2" s="19" t="s">
        <v>1256</v>
      </c>
      <c r="O2" s="20" t="s">
        <v>1257</v>
      </c>
      <c r="P2" s="20" t="s">
        <v>1258</v>
      </c>
      <c r="Q2" s="21" t="s">
        <v>1259</v>
      </c>
      <c r="R2" s="21" t="s">
        <v>1260</v>
      </c>
      <c r="S2" s="15" t="s">
        <v>1261</v>
      </c>
      <c r="T2" s="15" t="s">
        <v>1262</v>
      </c>
      <c r="U2" s="22" t="s">
        <v>1263</v>
      </c>
      <c r="V2" s="22" t="s">
        <v>1264</v>
      </c>
      <c r="W2" s="17" t="s">
        <v>1265</v>
      </c>
      <c r="X2" s="17" t="s">
        <v>1266</v>
      </c>
      <c r="Y2" s="18" t="s">
        <v>1267</v>
      </c>
      <c r="Z2" s="18" t="s">
        <v>1268</v>
      </c>
      <c r="AA2" s="19" t="s">
        <v>1269</v>
      </c>
      <c r="AB2" s="19" t="s">
        <v>1270</v>
      </c>
      <c r="AC2" s="11" t="s">
        <v>146</v>
      </c>
      <c r="AD2" s="11" t="s">
        <v>147</v>
      </c>
      <c r="AE2" s="11" t="s">
        <v>148</v>
      </c>
      <c r="AF2" s="11" t="s">
        <v>149</v>
      </c>
      <c r="AG2" s="11" t="s">
        <v>1219</v>
      </c>
    </row>
    <row r="3" spans="1:33" ht="68.400000000000006" customHeight="1" x14ac:dyDescent="0.3">
      <c r="A3" s="4"/>
      <c r="B3" s="12" t="s">
        <v>1220</v>
      </c>
      <c r="C3" s="12" t="s">
        <v>1221</v>
      </c>
      <c r="D3" s="23">
        <v>25</v>
      </c>
      <c r="E3" s="7"/>
      <c r="F3" s="8"/>
      <c r="G3" s="7"/>
      <c r="H3" s="8"/>
      <c r="I3" s="7"/>
      <c r="J3" s="8"/>
      <c r="K3" s="7"/>
      <c r="L3" s="8"/>
      <c r="M3" s="7"/>
      <c r="N3" s="8"/>
      <c r="O3" s="7"/>
      <c r="P3" s="8"/>
      <c r="Q3" s="7"/>
      <c r="R3" s="8"/>
      <c r="S3" s="7"/>
      <c r="T3" s="8"/>
      <c r="U3" s="7"/>
      <c r="V3" s="8"/>
      <c r="W3" s="7"/>
      <c r="X3" s="8"/>
      <c r="Y3" s="7"/>
      <c r="Z3" s="8"/>
      <c r="AA3" s="7"/>
      <c r="AB3" s="8"/>
      <c r="AC3" s="52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3" s="24">
        <f>IFERROR(Indicadores[[#This Row],[Valor actual (calc.)]]/Indicadores[[#This Row],[Meta]],0)</f>
        <v>0</v>
      </c>
      <c r="AE3" s="5"/>
      <c r="AF3" s="7"/>
      <c r="AG3" s="5"/>
    </row>
    <row r="4" spans="1:33" ht="85.2" customHeight="1" x14ac:dyDescent="0.3">
      <c r="A4" s="4"/>
      <c r="B4" s="12" t="s">
        <v>1222</v>
      </c>
      <c r="C4" s="12" t="s">
        <v>1223</v>
      </c>
      <c r="D4" s="23">
        <v>5</v>
      </c>
      <c r="E4" s="7"/>
      <c r="F4" s="8"/>
      <c r="G4" s="7"/>
      <c r="H4" s="8"/>
      <c r="I4" s="7"/>
      <c r="J4" s="8"/>
      <c r="K4" s="7"/>
      <c r="L4" s="8"/>
      <c r="M4" s="7"/>
      <c r="N4" s="8"/>
      <c r="O4" s="7"/>
      <c r="P4" s="8"/>
      <c r="Q4" s="7"/>
      <c r="R4" s="8"/>
      <c r="S4" s="7"/>
      <c r="T4" s="8"/>
      <c r="U4" s="7"/>
      <c r="V4" s="8"/>
      <c r="W4" s="7"/>
      <c r="X4" s="8"/>
      <c r="Y4" s="7"/>
      <c r="Z4" s="8"/>
      <c r="AA4" s="7"/>
      <c r="AB4" s="8"/>
      <c r="AC4" s="52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4" s="24">
        <f>IFERROR(Indicadores[[#This Row],[Valor actual (calc.)]]/Indicadores[[#This Row],[Meta]],0)</f>
        <v>0</v>
      </c>
      <c r="AE4" s="5"/>
      <c r="AF4" s="7"/>
      <c r="AG4" s="5"/>
    </row>
    <row r="5" spans="1:33" ht="87" customHeight="1" x14ac:dyDescent="0.3">
      <c r="A5" s="4"/>
      <c r="B5" s="12" t="s">
        <v>1224</v>
      </c>
      <c r="C5" s="12" t="s">
        <v>1225</v>
      </c>
      <c r="D5" s="23">
        <v>25</v>
      </c>
      <c r="E5" s="7"/>
      <c r="F5" s="8"/>
      <c r="G5" s="7"/>
      <c r="H5" s="8"/>
      <c r="I5" s="7"/>
      <c r="J5" s="8"/>
      <c r="K5" s="7"/>
      <c r="L5" s="8"/>
      <c r="M5" s="7"/>
      <c r="N5" s="8"/>
      <c r="O5" s="7"/>
      <c r="P5" s="8"/>
      <c r="Q5" s="7"/>
      <c r="R5" s="8"/>
      <c r="S5" s="7"/>
      <c r="T5" s="8"/>
      <c r="U5" s="7"/>
      <c r="V5" s="8"/>
      <c r="W5" s="7"/>
      <c r="X5" s="8"/>
      <c r="Y5" s="7"/>
      <c r="Z5" s="8"/>
      <c r="AA5" s="7"/>
      <c r="AB5" s="8"/>
      <c r="AC5" s="52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5" s="24">
        <f>IFERROR(Indicadores[[#This Row],[Valor actual (calc.)]]/Indicadores[[#This Row],[Meta]],0)</f>
        <v>0</v>
      </c>
      <c r="AE5" s="5"/>
      <c r="AF5" s="7"/>
      <c r="AG5" s="5"/>
    </row>
    <row r="6" spans="1:33" ht="106.2" customHeight="1" x14ac:dyDescent="0.3">
      <c r="A6" s="4"/>
      <c r="B6" s="12" t="s">
        <v>1226</v>
      </c>
      <c r="C6" s="12" t="s">
        <v>1227</v>
      </c>
      <c r="D6" s="25">
        <v>1</v>
      </c>
      <c r="E6" s="10"/>
      <c r="F6" s="8"/>
      <c r="G6" s="10"/>
      <c r="H6" s="8"/>
      <c r="I6" s="10"/>
      <c r="J6" s="8"/>
      <c r="K6" s="10"/>
      <c r="L6" s="8"/>
      <c r="M6" s="10"/>
      <c r="N6" s="8"/>
      <c r="O6" s="10"/>
      <c r="P6" s="8"/>
      <c r="Q6" s="10"/>
      <c r="R6" s="8"/>
      <c r="S6" s="10"/>
      <c r="T6" s="8"/>
      <c r="U6" s="10"/>
      <c r="V6" s="8"/>
      <c r="W6" s="10"/>
      <c r="X6" s="8"/>
      <c r="Y6" s="10"/>
      <c r="Z6" s="8"/>
      <c r="AA6" s="10"/>
      <c r="AB6" s="8"/>
      <c r="AC6" s="52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6" s="24">
        <f>IFERROR(Indicadores[[#This Row],[Valor actual (calc.)]]/Indicadores[[#This Row],[Meta]],0)</f>
        <v>0</v>
      </c>
      <c r="AE6" s="5"/>
      <c r="AF6" s="7"/>
      <c r="AG6" s="5"/>
    </row>
    <row r="7" spans="1:33" ht="156" customHeight="1" x14ac:dyDescent="0.3">
      <c r="A7" s="4"/>
      <c r="B7" s="12" t="s">
        <v>1228</v>
      </c>
      <c r="C7" s="12" t="s">
        <v>1229</v>
      </c>
      <c r="D7" s="25">
        <v>1</v>
      </c>
      <c r="E7" s="10"/>
      <c r="F7" s="8"/>
      <c r="G7" s="10"/>
      <c r="H7" s="8"/>
      <c r="I7" s="10"/>
      <c r="J7" s="8"/>
      <c r="K7" s="10"/>
      <c r="L7" s="8"/>
      <c r="M7" s="10"/>
      <c r="N7" s="8"/>
      <c r="O7" s="10"/>
      <c r="P7" s="8"/>
      <c r="Q7" s="10"/>
      <c r="R7" s="8"/>
      <c r="S7" s="10"/>
      <c r="T7" s="8"/>
      <c r="U7" s="10"/>
      <c r="V7" s="8"/>
      <c r="W7" s="10"/>
      <c r="X7" s="8"/>
      <c r="Y7" s="10"/>
      <c r="Z7" s="8"/>
      <c r="AA7" s="10"/>
      <c r="AB7" s="8"/>
      <c r="AC7" s="52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7" s="24">
        <f>IFERROR(Indicadores[[#This Row],[Valor actual (calc.)]]/Indicadores[[#This Row],[Meta]],0)</f>
        <v>0</v>
      </c>
      <c r="AE7" s="5"/>
      <c r="AF7" s="7"/>
      <c r="AG7" s="5"/>
    </row>
    <row r="8" spans="1:33" ht="107.4" customHeight="1" x14ac:dyDescent="0.3">
      <c r="A8" s="4"/>
      <c r="B8" s="12" t="s">
        <v>1230</v>
      </c>
      <c r="C8" s="12" t="s">
        <v>1231</v>
      </c>
      <c r="D8" s="25">
        <v>1</v>
      </c>
      <c r="E8" s="10"/>
      <c r="F8" s="8"/>
      <c r="G8" s="10"/>
      <c r="H8" s="8"/>
      <c r="I8" s="10"/>
      <c r="J8" s="8"/>
      <c r="K8" s="10"/>
      <c r="L8" s="8"/>
      <c r="M8" s="10"/>
      <c r="N8" s="8"/>
      <c r="O8" s="10"/>
      <c r="P8" s="8"/>
      <c r="Q8" s="10"/>
      <c r="R8" s="8"/>
      <c r="S8" s="10"/>
      <c r="T8" s="8"/>
      <c r="U8" s="10"/>
      <c r="V8" s="8"/>
      <c r="W8" s="10"/>
      <c r="X8" s="8"/>
      <c r="Y8" s="10"/>
      <c r="Z8" s="8"/>
      <c r="AA8" s="10"/>
      <c r="AB8" s="8"/>
      <c r="AC8" s="52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8" s="24">
        <f>IFERROR(Indicadores[[#This Row],[Valor actual (calc.)]]/Indicadores[[#This Row],[Meta]],0)</f>
        <v>0</v>
      </c>
      <c r="AE8" s="5"/>
      <c r="AF8" s="7"/>
      <c r="AG8" s="5"/>
    </row>
    <row r="9" spans="1:33" ht="199.2" customHeight="1" x14ac:dyDescent="0.3">
      <c r="A9" s="4"/>
      <c r="B9" s="12" t="s">
        <v>1232</v>
      </c>
      <c r="C9" s="12" t="s">
        <v>1233</v>
      </c>
      <c r="D9" s="23">
        <v>6</v>
      </c>
      <c r="E9" s="7"/>
      <c r="F9" s="8"/>
      <c r="G9" s="7"/>
      <c r="H9" s="8"/>
      <c r="I9" s="7"/>
      <c r="J9" s="8"/>
      <c r="K9" s="7"/>
      <c r="L9" s="8"/>
      <c r="M9" s="7"/>
      <c r="N9" s="8"/>
      <c r="O9" s="7"/>
      <c r="P9" s="8"/>
      <c r="Q9" s="7"/>
      <c r="R9" s="8"/>
      <c r="S9" s="7"/>
      <c r="T9" s="8"/>
      <c r="U9" s="7"/>
      <c r="V9" s="8"/>
      <c r="W9" s="7"/>
      <c r="X9" s="8"/>
      <c r="Y9" s="7"/>
      <c r="Z9" s="8"/>
      <c r="AA9" s="7"/>
      <c r="AB9" s="8"/>
      <c r="AC9" s="53">
        <f>IF(Indicadores[[#This Row],[Meta]]&lt;=1,MAX(Indicadores[[#This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cuantitativo​​​​​​​​​​​]]),SUM(Indicadores[[#This Row],[Avance cuantitativo]],Indicadores[[#This Row],[Avance cuantitativo​]],Indicadores[[#This Row],[Avance cuantitativo​​]],Indicadores[[#This Row],[Avance cuantitativo​​​]],Indicadores[[#This Row],[Avance cuantitativo​​​​]],Indicadores[[#This Row],[Avance cuantitativo​​​​​]],Indicadores[[#This Row],[Avance cuantitativo​​​​​​]],Indicadores[[#This Row],[Avance cuantitativo​​​​​​​]],Indicadores[[#This Row],[Avance cuantitativo​​​​​​​​]],Indicadores[[#This Row],[Avance cuantitativo​​​​​​​​​]],Indicadores[[#This Row],[Avance cuantitativo​​​​​​​​​​]],Indicadores[[#This Row],[Avance cuantitativo​​​​​​​​​​​]]))</f>
        <v>0</v>
      </c>
      <c r="AD9" s="26">
        <f>IFERROR(Indicadores[[#This Row],[Valor actual (calc.)]]/Indicadores[[#This Row],[Meta]],0)</f>
        <v>0</v>
      </c>
      <c r="AE9" s="5"/>
      <c r="AF9" s="7"/>
      <c r="AG9" s="5"/>
    </row>
    <row r="10" spans="1:33" hidden="1" x14ac:dyDescent="0.3">
      <c r="AC10" s="54"/>
    </row>
    <row r="11" spans="1:33" hidden="1" x14ac:dyDescent="0.3">
      <c r="AC11" s="54"/>
    </row>
    <row r="12" spans="1:33" hidden="1" x14ac:dyDescent="0.3">
      <c r="AC12" s="54"/>
    </row>
    <row r="13" spans="1:33" hidden="1" x14ac:dyDescent="0.3">
      <c r="AC13" s="54"/>
    </row>
    <row r="14" spans="1:33" hidden="1" x14ac:dyDescent="0.3">
      <c r="AC14" s="54"/>
    </row>
    <row r="15" spans="1:33" hidden="1" x14ac:dyDescent="0.3">
      <c r="AC15" s="54"/>
    </row>
    <row r="16" spans="1:33" hidden="1" x14ac:dyDescent="0.3">
      <c r="AC16" s="54"/>
    </row>
    <row r="17" spans="29:29" hidden="1" x14ac:dyDescent="0.3">
      <c r="AC17" s="54"/>
    </row>
    <row r="18" spans="29:29" hidden="1" x14ac:dyDescent="0.3">
      <c r="AC18" s="54"/>
    </row>
    <row r="19" spans="29:29" hidden="1" x14ac:dyDescent="0.3">
      <c r="AC19" s="54"/>
    </row>
    <row r="20" spans="29:29" hidden="1" x14ac:dyDescent="0.3">
      <c r="AC20" s="54"/>
    </row>
    <row r="21" spans="29:29" hidden="1" x14ac:dyDescent="0.3">
      <c r="AC21" s="54"/>
    </row>
    <row r="22" spans="29:29" hidden="1" x14ac:dyDescent="0.3">
      <c r="AC22" s="54"/>
    </row>
    <row r="23" spans="29:29" hidden="1" x14ac:dyDescent="0.3">
      <c r="AC23" s="54"/>
    </row>
    <row r="24" spans="29:29" hidden="1" x14ac:dyDescent="0.3">
      <c r="AC24" s="54"/>
    </row>
    <row r="25" spans="29:29" hidden="1" x14ac:dyDescent="0.3">
      <c r="AC25" s="54"/>
    </row>
    <row r="26" spans="29:29" hidden="1" x14ac:dyDescent="0.3">
      <c r="AC26" s="54"/>
    </row>
    <row r="27" spans="29:29" hidden="1" x14ac:dyDescent="0.3">
      <c r="AC27" s="54"/>
    </row>
    <row r="28" spans="29:29" hidden="1" x14ac:dyDescent="0.3">
      <c r="AC28" s="54"/>
    </row>
    <row r="29" spans="29:29" hidden="1" x14ac:dyDescent="0.3">
      <c r="AC29" s="54"/>
    </row>
    <row r="30" spans="29:29" hidden="1" x14ac:dyDescent="0.3">
      <c r="AC30" s="54"/>
    </row>
    <row r="31" spans="29:29" hidden="1" x14ac:dyDescent="0.3">
      <c r="AC31" s="54"/>
    </row>
    <row r="32" spans="29:29" hidden="1" x14ac:dyDescent="0.3">
      <c r="AC32" s="54"/>
    </row>
    <row r="33" spans="29:29" hidden="1" x14ac:dyDescent="0.3">
      <c r="AC33" s="54"/>
    </row>
    <row r="34" spans="29:29" hidden="1" x14ac:dyDescent="0.3">
      <c r="AC34" s="54"/>
    </row>
    <row r="35" spans="29:29" hidden="1" x14ac:dyDescent="0.3">
      <c r="AC35" s="54"/>
    </row>
    <row r="36" spans="29:29" hidden="1" x14ac:dyDescent="0.3">
      <c r="AC36" s="54"/>
    </row>
    <row r="37" spans="29:29" hidden="1" x14ac:dyDescent="0.3">
      <c r="AC37" s="54"/>
    </row>
    <row r="38" spans="29:29" hidden="1" x14ac:dyDescent="0.3">
      <c r="AC38" s="54"/>
    </row>
    <row r="39" spans="29:29" hidden="1" x14ac:dyDescent="0.3">
      <c r="AC39" s="54"/>
    </row>
    <row r="40" spans="29:29" hidden="1" x14ac:dyDescent="0.3">
      <c r="AC40" s="54"/>
    </row>
    <row r="41" spans="29:29" hidden="1" x14ac:dyDescent="0.3">
      <c r="AC41" s="54"/>
    </row>
    <row r="42" spans="29:29" hidden="1" x14ac:dyDescent="0.3">
      <c r="AC42" s="54"/>
    </row>
    <row r="43" spans="29:29" hidden="1" x14ac:dyDescent="0.3">
      <c r="AC43" s="54"/>
    </row>
    <row r="44" spans="29:29" hidden="1" x14ac:dyDescent="0.3">
      <c r="AC44" s="54"/>
    </row>
    <row r="45" spans="29:29" hidden="1" x14ac:dyDescent="0.3">
      <c r="AC45" s="54"/>
    </row>
    <row r="46" spans="29:29" hidden="1" x14ac:dyDescent="0.3">
      <c r="AC46" s="54"/>
    </row>
    <row r="47" spans="29:29" hidden="1" x14ac:dyDescent="0.3">
      <c r="AC47" s="54"/>
    </row>
    <row r="48" spans="29:29" hidden="1" x14ac:dyDescent="0.3">
      <c r="AC48" s="54"/>
    </row>
    <row r="49" spans="29:29" hidden="1" x14ac:dyDescent="0.3">
      <c r="AC49" s="54"/>
    </row>
    <row r="50" spans="29:29" hidden="1" x14ac:dyDescent="0.3">
      <c r="AC50" s="54"/>
    </row>
    <row r="51" spans="29:29" hidden="1" x14ac:dyDescent="0.3">
      <c r="AC51" s="54"/>
    </row>
    <row r="52" spans="29:29" hidden="1" x14ac:dyDescent="0.3">
      <c r="AC52" s="54"/>
    </row>
    <row r="53" spans="29:29" hidden="1" x14ac:dyDescent="0.3">
      <c r="AC53" s="54"/>
    </row>
    <row r="54" spans="29:29" hidden="1" x14ac:dyDescent="0.3">
      <c r="AC54" s="54"/>
    </row>
    <row r="55" spans="29:29" hidden="1" x14ac:dyDescent="0.3">
      <c r="AC55" s="54"/>
    </row>
    <row r="56" spans="29:29" hidden="1" x14ac:dyDescent="0.3">
      <c r="AC56" s="54"/>
    </row>
    <row r="57" spans="29:29" hidden="1" x14ac:dyDescent="0.3">
      <c r="AC57" s="54"/>
    </row>
    <row r="58" spans="29:29" hidden="1" x14ac:dyDescent="0.3">
      <c r="AC58" s="54"/>
    </row>
    <row r="59" spans="29:29" hidden="1" x14ac:dyDescent="0.3">
      <c r="AC59" s="54"/>
    </row>
    <row r="60" spans="29:29" hidden="1" x14ac:dyDescent="0.3">
      <c r="AC60" s="54"/>
    </row>
    <row r="61" spans="29:29" hidden="1" x14ac:dyDescent="0.3">
      <c r="AC61" s="54"/>
    </row>
    <row r="62" spans="29:29" hidden="1" x14ac:dyDescent="0.3">
      <c r="AC62" s="54"/>
    </row>
    <row r="63" spans="29:29" hidden="1" x14ac:dyDescent="0.3">
      <c r="AC63" s="54"/>
    </row>
    <row r="64" spans="29:29" hidden="1" x14ac:dyDescent="0.3">
      <c r="AC64" s="54"/>
    </row>
    <row r="65" spans="29:29" hidden="1" x14ac:dyDescent="0.3">
      <c r="AC65" s="54"/>
    </row>
    <row r="66" spans="29:29" hidden="1" x14ac:dyDescent="0.3">
      <c r="AC66" s="54"/>
    </row>
    <row r="67" spans="29:29" hidden="1" x14ac:dyDescent="0.3">
      <c r="AC67" s="54"/>
    </row>
    <row r="68" spans="29:29" hidden="1" x14ac:dyDescent="0.3">
      <c r="AC68" s="54"/>
    </row>
    <row r="69" spans="29:29" hidden="1" x14ac:dyDescent="0.3">
      <c r="AC69" s="54"/>
    </row>
    <row r="70" spans="29:29" hidden="1" x14ac:dyDescent="0.3">
      <c r="AC70" s="54"/>
    </row>
    <row r="71" spans="29:29" hidden="1" x14ac:dyDescent="0.3">
      <c r="AC71" s="54"/>
    </row>
    <row r="72" spans="29:29" hidden="1" x14ac:dyDescent="0.3">
      <c r="AC72" s="54"/>
    </row>
    <row r="73" spans="29:29" hidden="1" x14ac:dyDescent="0.3">
      <c r="AC73" s="54"/>
    </row>
    <row r="74" spans="29:29" hidden="1" x14ac:dyDescent="0.3">
      <c r="AC74" s="54"/>
    </row>
    <row r="75" spans="29:29" hidden="1" x14ac:dyDescent="0.3">
      <c r="AC75" s="54"/>
    </row>
    <row r="76" spans="29:29" hidden="1" x14ac:dyDescent="0.3">
      <c r="AC76" s="54"/>
    </row>
    <row r="77" spans="29:29" hidden="1" x14ac:dyDescent="0.3">
      <c r="AC77" s="54"/>
    </row>
    <row r="78" spans="29:29" hidden="1" x14ac:dyDescent="0.3">
      <c r="AC78" s="54"/>
    </row>
    <row r="79" spans="29:29" hidden="1" x14ac:dyDescent="0.3">
      <c r="AC79" s="54"/>
    </row>
    <row r="80" spans="29:29" hidden="1" x14ac:dyDescent="0.3">
      <c r="AC80" s="54"/>
    </row>
    <row r="81" spans="29:29" hidden="1" x14ac:dyDescent="0.3">
      <c r="AC81" s="54"/>
    </row>
    <row r="82" spans="29:29" hidden="1" x14ac:dyDescent="0.3">
      <c r="AC82" s="54"/>
    </row>
    <row r="83" spans="29:29" hidden="1" x14ac:dyDescent="0.3">
      <c r="AC83" s="54"/>
    </row>
    <row r="84" spans="29:29" hidden="1" x14ac:dyDescent="0.3">
      <c r="AC84" s="54"/>
    </row>
    <row r="85" spans="29:29" hidden="1" x14ac:dyDescent="0.3">
      <c r="AC85" s="54"/>
    </row>
    <row r="86" spans="29:29" hidden="1" x14ac:dyDescent="0.3">
      <c r="AC86" s="54"/>
    </row>
    <row r="87" spans="29:29" hidden="1" x14ac:dyDescent="0.3">
      <c r="AC87" s="54"/>
    </row>
    <row r="88" spans="29:29" hidden="1" x14ac:dyDescent="0.3">
      <c r="AC88" s="54"/>
    </row>
    <row r="89" spans="29:29" hidden="1" x14ac:dyDescent="0.3">
      <c r="AC89" s="54"/>
    </row>
    <row r="90" spans="29:29" hidden="1" x14ac:dyDescent="0.3">
      <c r="AC90" s="54"/>
    </row>
    <row r="91" spans="29:29" hidden="1" x14ac:dyDescent="0.3">
      <c r="AC91" s="54"/>
    </row>
    <row r="92" spans="29:29" hidden="1" x14ac:dyDescent="0.3">
      <c r="AC92" s="54"/>
    </row>
    <row r="93" spans="29:29" hidden="1" x14ac:dyDescent="0.3">
      <c r="AC93" s="54"/>
    </row>
    <row r="94" spans="29:29" hidden="1" x14ac:dyDescent="0.3">
      <c r="AC94" s="54"/>
    </row>
    <row r="95" spans="29:29" hidden="1" x14ac:dyDescent="0.3">
      <c r="AC95" s="54"/>
    </row>
    <row r="96" spans="29:29" hidden="1" x14ac:dyDescent="0.3">
      <c r="AC96" s="54"/>
    </row>
    <row r="97" spans="29:29" hidden="1" x14ac:dyDescent="0.3">
      <c r="AC97" s="54"/>
    </row>
    <row r="98" spans="29:29" hidden="1" x14ac:dyDescent="0.3">
      <c r="AC98" s="54"/>
    </row>
    <row r="99" spans="29:29" hidden="1" x14ac:dyDescent="0.3">
      <c r="AC99" s="54"/>
    </row>
    <row r="100" spans="29:29" hidden="1" x14ac:dyDescent="0.3">
      <c r="AC100" s="54"/>
    </row>
  </sheetData>
  <sheetProtection algorithmName="SHA-512" hashValue="anSPiqmYStOHadnXp/NHSSxLA7B8QVnGg4ZAJ73b9dhp2WYuIiP6Rs6iom5SFOfyqzbuqWIx3HwEsX9DKg4OyQ==" saltValue="JZ+0Qq7gt55HsNzGiLuNEg==" spinCount="100000" sheet="1" objects="1" scenarios="1" selectLockedCells="1" sort="0" autoFilter="0"/>
  <mergeCells count="12">
    <mergeCell ref="AA1:AB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</mergeCells>
  <phoneticPr fontId="2" type="noConversion"/>
  <conditionalFormatting sqref="AC3:AC100">
    <cfRule type="expression" dxfId="2" priority="1">
      <formula>$D3&lt;=1</formula>
    </cfRule>
  </conditionalFormatting>
  <conditionalFormatting sqref="AC3:AC100">
    <cfRule type="expression" dxfId="1" priority="2">
      <formula>$D3&gt;1</formula>
    </cfRule>
  </conditionalFormatting>
  <dataValidations count="4">
    <dataValidation type="decimal" operator="greaterThanOrEqual" allowBlank="1" showInputMessage="1" showErrorMessage="1" sqref="D3:D9" xr:uid="{F19A1387-4389-4C0D-98E6-9E7A7EE23AA6}">
      <formula1>0</formula1>
    </dataValidation>
    <dataValidation type="whole" allowBlank="1" showInputMessage="1" showErrorMessage="1" errorTitle="Año inválido" error="Año entre 2000 y 2100." sqref="AF3:AF9" xr:uid="{6716B65B-30A3-42A5-9BF3-2AFB8C968B19}">
      <formula1>2000</formula1>
      <formula2>2100</formula2>
    </dataValidation>
    <dataValidation type="decimal" operator="greaterThanOrEqual" allowBlank="1" showInputMessage="1" showErrorMessage="1" errorTitle="Valor inválido" error="Solo se aceptan valores numéricos ≥ 0." sqref="E3:E9 G3:G9 I3:I9 K3:K9 M3:M9 O3:O9 Q3:Q9 S3:S9 U3:U9 W3:W9 Y3:Y9 AA3:AA9" xr:uid="{29173785-4FA5-45E3-B399-682A24F4E209}">
      <formula1>0</formula1>
    </dataValidation>
    <dataValidation type="list" allowBlank="1" showInputMessage="1" showErrorMessage="1" errorTitle="Departamento" error="Selecciona un departamento de la lista. (Para multi-selección activa la macro en .xlsm)" promptTitle="Departamento (multi)" prompt="Selección múltiple: cada clic en una opción la agrega; volver a hacer clic la quita. Requiere archivo .xlsm con macro habilitada." sqref="A3:A9" xr:uid="{68B1D995-3DF1-4057-9A85-F1CD6562BCEE}">
      <formula1>Departamentos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EDF10-1E09-48AB-809C-36170FDBA181}">
  <sheetPr codeName="Hoja7">
    <tabColor theme="5" tint="-0.249977111117893"/>
  </sheetPr>
  <dimension ref="A1:AZ40"/>
  <sheetViews>
    <sheetView workbookViewId="0">
      <pane ySplit="1" topLeftCell="A2" activePane="bottomLeft" state="frozen"/>
      <selection activeCell="C1" sqref="C1"/>
      <selection pane="bottomLeft" activeCell="A2" sqref="A2:A6"/>
    </sheetView>
  </sheetViews>
  <sheetFormatPr baseColWidth="10" defaultColWidth="0" defaultRowHeight="13.2" zeroHeight="1" x14ac:dyDescent="0.3"/>
  <cols>
    <col min="1" max="1" width="16.6640625" style="30" customWidth="1"/>
    <col min="2" max="2" width="37" style="30" customWidth="1"/>
    <col min="3" max="3" width="33.33203125" style="30" customWidth="1"/>
    <col min="4" max="4" width="10.21875" style="30" customWidth="1"/>
    <col min="5" max="5" width="33.33203125" style="30" customWidth="1"/>
    <col min="6" max="6" width="51.88671875" style="30" customWidth="1"/>
    <col min="7" max="8" width="18.5546875" style="30" customWidth="1"/>
    <col min="9" max="9" width="24.109375" style="30" customWidth="1"/>
    <col min="10" max="10" width="11.109375" style="30" customWidth="1"/>
    <col min="11" max="11" width="33.33203125" style="30" customWidth="1"/>
    <col min="12" max="12" width="25.88671875" style="30" hidden="1" customWidth="1"/>
    <col min="13" max="52" width="11.88671875" style="30" hidden="1" customWidth="1"/>
    <col min="53" max="16384" width="11.5546875" style="30" hidden="1"/>
  </cols>
  <sheetData>
    <row r="1" spans="1:12" ht="40.049999999999997" customHeight="1" x14ac:dyDescent="0.3">
      <c r="A1" s="32" t="s">
        <v>107</v>
      </c>
      <c r="B1" s="32" t="s">
        <v>145</v>
      </c>
      <c r="C1" s="32" t="s">
        <v>1336</v>
      </c>
      <c r="D1" s="32" t="s">
        <v>20</v>
      </c>
      <c r="E1" s="32" t="s">
        <v>1337</v>
      </c>
      <c r="F1" s="32" t="s">
        <v>1361</v>
      </c>
      <c r="G1" s="32" t="s">
        <v>1362</v>
      </c>
      <c r="H1" s="32" t="s">
        <v>146</v>
      </c>
      <c r="I1" s="32" t="s">
        <v>148</v>
      </c>
      <c r="J1" s="32" t="s">
        <v>149</v>
      </c>
      <c r="K1" s="32" t="s">
        <v>110</v>
      </c>
      <c r="L1" s="29"/>
    </row>
    <row r="2" spans="1:12" ht="140.4" customHeight="1" x14ac:dyDescent="0.3">
      <c r="A2" s="55"/>
      <c r="B2" s="48" t="s">
        <v>1226</v>
      </c>
      <c r="C2" s="48" t="s">
        <v>1227</v>
      </c>
      <c r="D2" s="49">
        <v>1</v>
      </c>
      <c r="E2" s="45" t="s">
        <v>1338</v>
      </c>
      <c r="F2" s="31" t="s">
        <v>1339</v>
      </c>
      <c r="G2" s="44"/>
      <c r="H2" s="50">
        <f>IFERROR(INDEX(Indicadores!$AC$3:$AC$9,MATCH($C2,Indicadores!$C$3:$C$9,0)),0)</f>
        <v>0</v>
      </c>
      <c r="I2" s="42"/>
      <c r="J2" s="43"/>
      <c r="K2" s="44"/>
      <c r="L2" s="29"/>
    </row>
    <row r="3" spans="1:12" ht="100.05" customHeight="1" x14ac:dyDescent="0.3">
      <c r="A3" s="55"/>
      <c r="B3" s="48"/>
      <c r="C3" s="48"/>
      <c r="D3" s="49"/>
      <c r="E3" s="46"/>
      <c r="F3" s="31" t="s">
        <v>1340</v>
      </c>
      <c r="G3" s="44"/>
      <c r="H3" s="50"/>
      <c r="I3" s="42"/>
      <c r="J3" s="43"/>
      <c r="K3" s="44"/>
      <c r="L3" s="29"/>
    </row>
    <row r="4" spans="1:12" ht="100.05" customHeight="1" x14ac:dyDescent="0.3">
      <c r="A4" s="55"/>
      <c r="B4" s="48"/>
      <c r="C4" s="48"/>
      <c r="D4" s="49"/>
      <c r="E4" s="47"/>
      <c r="F4" s="31" t="s">
        <v>1341</v>
      </c>
      <c r="G4" s="44"/>
      <c r="H4" s="50"/>
      <c r="I4" s="42"/>
      <c r="J4" s="43"/>
      <c r="K4" s="44"/>
      <c r="L4" s="29"/>
    </row>
    <row r="5" spans="1:12" ht="173.4" customHeight="1" x14ac:dyDescent="0.3">
      <c r="A5" s="55"/>
      <c r="B5" s="48"/>
      <c r="C5" s="48"/>
      <c r="D5" s="49"/>
      <c r="E5" s="31" t="s">
        <v>1342</v>
      </c>
      <c r="F5" s="31" t="s">
        <v>1343</v>
      </c>
      <c r="G5" s="44"/>
      <c r="H5" s="50"/>
      <c r="I5" s="42"/>
      <c r="J5" s="43"/>
      <c r="K5" s="44"/>
      <c r="L5" s="29"/>
    </row>
    <row r="6" spans="1:12" ht="100.05" customHeight="1" x14ac:dyDescent="0.3">
      <c r="A6" s="55"/>
      <c r="B6" s="48"/>
      <c r="C6" s="48"/>
      <c r="D6" s="49"/>
      <c r="E6" s="31" t="s">
        <v>1344</v>
      </c>
      <c r="F6" s="31" t="s">
        <v>1345</v>
      </c>
      <c r="G6" s="44"/>
      <c r="H6" s="50"/>
      <c r="I6" s="42"/>
      <c r="J6" s="43"/>
      <c r="K6" s="44"/>
      <c r="L6" s="29"/>
    </row>
    <row r="7" spans="1:12" ht="138" customHeight="1" x14ac:dyDescent="0.3">
      <c r="A7" s="55"/>
      <c r="B7" s="48" t="s">
        <v>1228</v>
      </c>
      <c r="C7" s="48" t="s">
        <v>1229</v>
      </c>
      <c r="D7" s="49">
        <v>1</v>
      </c>
      <c r="E7" s="31" t="s">
        <v>1346</v>
      </c>
      <c r="F7" s="31" t="s">
        <v>1347</v>
      </c>
      <c r="G7" s="44"/>
      <c r="H7" s="33">
        <f>IFERROR(INDEX(Indicadores!$AC$3:$AC$9,MATCH($C7,Indicadores!$C$3:$C$9,0)),0)</f>
        <v>0</v>
      </c>
      <c r="I7" s="42"/>
      <c r="J7" s="43"/>
      <c r="K7" s="44"/>
      <c r="L7" s="29"/>
    </row>
    <row r="8" spans="1:12" ht="141" customHeight="1" x14ac:dyDescent="0.3">
      <c r="A8" s="55"/>
      <c r="B8" s="48"/>
      <c r="C8" s="48"/>
      <c r="D8" s="49"/>
      <c r="E8" s="31" t="s">
        <v>1348</v>
      </c>
      <c r="F8" s="31" t="s">
        <v>1349</v>
      </c>
      <c r="G8" s="44"/>
      <c r="H8" s="33"/>
      <c r="I8" s="42"/>
      <c r="J8" s="43"/>
      <c r="K8" s="44"/>
      <c r="L8" s="29"/>
    </row>
    <row r="9" spans="1:12" ht="100.05" customHeight="1" x14ac:dyDescent="0.3">
      <c r="A9" s="55"/>
      <c r="B9" s="48"/>
      <c r="C9" s="48"/>
      <c r="D9" s="49"/>
      <c r="E9" s="31" t="s">
        <v>1350</v>
      </c>
      <c r="F9" s="31" t="s">
        <v>1351</v>
      </c>
      <c r="G9" s="44"/>
      <c r="H9" s="33"/>
      <c r="I9" s="42"/>
      <c r="J9" s="43"/>
      <c r="K9" s="44"/>
      <c r="L9" s="29"/>
    </row>
    <row r="10" spans="1:12" ht="100.05" customHeight="1" x14ac:dyDescent="0.3">
      <c r="A10" s="55"/>
      <c r="B10" s="48"/>
      <c r="C10" s="48"/>
      <c r="D10" s="49"/>
      <c r="E10" s="31" t="s">
        <v>1352</v>
      </c>
      <c r="F10" s="31" t="s">
        <v>1353</v>
      </c>
      <c r="G10" s="44"/>
      <c r="H10" s="33"/>
      <c r="I10" s="42"/>
      <c r="J10" s="43"/>
      <c r="K10" s="44"/>
      <c r="L10" s="29"/>
    </row>
    <row r="11" spans="1:12" ht="100.05" customHeight="1" x14ac:dyDescent="0.3">
      <c r="A11" s="55"/>
      <c r="B11" s="48" t="s">
        <v>1230</v>
      </c>
      <c r="C11" s="48" t="s">
        <v>1231</v>
      </c>
      <c r="D11" s="49">
        <v>1</v>
      </c>
      <c r="E11" s="31" t="s">
        <v>1354</v>
      </c>
      <c r="F11" s="31" t="s">
        <v>1355</v>
      </c>
      <c r="G11" s="44"/>
      <c r="H11" s="51">
        <f>IFERROR(INDEX(Indicadores!$AC$3:$AC$9,MATCH($C11,Indicadores!$C$3:$C$9,0)),0)</f>
        <v>0</v>
      </c>
      <c r="I11" s="42"/>
      <c r="J11" s="43"/>
      <c r="K11" s="44"/>
      <c r="L11" s="29"/>
    </row>
    <row r="12" spans="1:12" ht="100.05" customHeight="1" x14ac:dyDescent="0.3">
      <c r="A12" s="55"/>
      <c r="B12" s="48"/>
      <c r="C12" s="48"/>
      <c r="D12" s="49"/>
      <c r="E12" s="31" t="s">
        <v>1356</v>
      </c>
      <c r="F12" s="31" t="s">
        <v>1357</v>
      </c>
      <c r="G12" s="44"/>
      <c r="H12" s="56"/>
      <c r="I12" s="42"/>
      <c r="J12" s="43"/>
      <c r="K12" s="44"/>
      <c r="L12" s="29"/>
    </row>
    <row r="13" spans="1:12" ht="100.05" customHeight="1" x14ac:dyDescent="0.3">
      <c r="A13" s="55"/>
      <c r="B13" s="48"/>
      <c r="C13" s="48"/>
      <c r="D13" s="49"/>
      <c r="E13" s="31" t="s">
        <v>1358</v>
      </c>
      <c r="F13" s="31" t="s">
        <v>1359</v>
      </c>
      <c r="G13" s="44"/>
      <c r="H13" s="56"/>
      <c r="I13" s="42"/>
      <c r="J13" s="43"/>
      <c r="K13" s="44"/>
      <c r="L13" s="29"/>
    </row>
    <row r="14" spans="1:12" ht="100.05" customHeight="1" x14ac:dyDescent="0.3">
      <c r="A14" s="55"/>
      <c r="B14" s="48"/>
      <c r="C14" s="48"/>
      <c r="D14" s="49"/>
      <c r="E14" s="31" t="s">
        <v>1352</v>
      </c>
      <c r="F14" s="31" t="s">
        <v>1360</v>
      </c>
      <c r="G14" s="44"/>
      <c r="H14" s="57"/>
      <c r="I14" s="42"/>
      <c r="J14" s="43"/>
      <c r="K14" s="44"/>
      <c r="L14" s="29"/>
    </row>
    <row r="15" spans="1:12" hidden="1" x14ac:dyDescent="0.3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</row>
    <row r="16" spans="1:12" hidden="1" x14ac:dyDescent="0.3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</row>
    <row r="17" spans="1:12" hidden="1" x14ac:dyDescent="0.3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</row>
    <row r="18" spans="1:12" hidden="1" x14ac:dyDescent="0.3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</row>
    <row r="19" spans="1:12" hidden="1" x14ac:dyDescent="0.3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0" spans="1:12" hidden="1" x14ac:dyDescent="0.3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</row>
    <row r="21" spans="1:12" hidden="1" x14ac:dyDescent="0.3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</row>
    <row r="22" spans="1:12" hidden="1" x14ac:dyDescent="0.3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1:12" hidden="1" x14ac:dyDescent="0.3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</row>
    <row r="24" spans="1:12" hidden="1" x14ac:dyDescent="0.3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</row>
    <row r="25" spans="1:12" hidden="1" x14ac:dyDescent="0.3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</row>
    <row r="26" spans="1:12" hidden="1" x14ac:dyDescent="0.3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</row>
    <row r="27" spans="1:12" hidden="1" x14ac:dyDescent="0.3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</row>
    <row r="28" spans="1:12" hidden="1" x14ac:dyDescent="0.3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</row>
    <row r="29" spans="1:12" hidden="1" x14ac:dyDescent="0.3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</row>
    <row r="30" spans="1:12" hidden="1" x14ac:dyDescent="0.3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</row>
    <row r="31" spans="1:12" hidden="1" x14ac:dyDescent="0.3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</row>
    <row r="32" spans="1:12" hidden="1" x14ac:dyDescent="0.3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</row>
    <row r="33" spans="1:12" hidden="1" x14ac:dyDescent="0.3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</row>
    <row r="34" spans="1:12" hidden="1" x14ac:dyDescent="0.3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</row>
    <row r="35" spans="1:12" hidden="1" x14ac:dyDescent="0.3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</row>
    <row r="36" spans="1:12" hidden="1" x14ac:dyDescent="0.3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</row>
    <row r="37" spans="1:12" hidden="1" x14ac:dyDescent="0.3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</row>
    <row r="38" spans="1:12" hidden="1" x14ac:dyDescent="0.3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</row>
    <row r="39" spans="1:12" hidden="1" x14ac:dyDescent="0.3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</row>
    <row r="40" spans="1:12" hidden="1" x14ac:dyDescent="0.3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</row>
  </sheetData>
  <sheetProtection algorithmName="SHA-512" hashValue="++jd9b7WuoFde2WXJQrG4X24dXA4XdlqXygBXezBT9ebYVtRcBWNjJytTUodJXsQU8SuqyI1ixD/3lHsnyy5RA==" saltValue="XvDIc4FARMqdFBS0/IvR4g==" spinCount="100000" sheet="1" objects="1" scenarios="1" selectLockedCells="1" sort="0" autoFilter="0"/>
  <mergeCells count="27">
    <mergeCell ref="A7:A10"/>
    <mergeCell ref="B11:B14"/>
    <mergeCell ref="C11:C14"/>
    <mergeCell ref="D11:D14"/>
    <mergeCell ref="A2:A6"/>
    <mergeCell ref="A11:A14"/>
    <mergeCell ref="B2:B6"/>
    <mergeCell ref="C2:C6"/>
    <mergeCell ref="D2:D6"/>
    <mergeCell ref="B7:B10"/>
    <mergeCell ref="C7:C10"/>
    <mergeCell ref="D7:D10"/>
    <mergeCell ref="I12:I14"/>
    <mergeCell ref="J12:J14"/>
    <mergeCell ref="K12:K14"/>
    <mergeCell ref="E2:E4"/>
    <mergeCell ref="G7:G11"/>
    <mergeCell ref="I7:I11"/>
    <mergeCell ref="J7:J11"/>
    <mergeCell ref="K7:K11"/>
    <mergeCell ref="G12:G14"/>
    <mergeCell ref="I2:I6"/>
    <mergeCell ref="J2:J6"/>
    <mergeCell ref="K2:K6"/>
    <mergeCell ref="G2:G6"/>
    <mergeCell ref="H2:H6"/>
    <mergeCell ref="H11:H14"/>
  </mergeCells>
  <dataValidations count="3">
    <dataValidation type="list" allowBlank="1" showInputMessage="1" showErrorMessage="1" promptTitle="Meses (multi)" prompt="Selección múltiple via macro. Cada clic agrega; volver a hacerlo quita." sqref="G2:G14" xr:uid="{F6652D75-43AC-4F99-81DE-2BD13880E05B}">
      <formula1>Meses</formula1>
    </dataValidation>
    <dataValidation type="list" allowBlank="1" showInputMessage="1" showErrorMessage="1" errorTitle="Año" error="Selecciona un año de la lista." sqref="J2:J14" xr:uid="{63F8D90D-BD49-4B52-841E-B1B50F0ACA76}">
      <formula1>Años</formula1>
    </dataValidation>
    <dataValidation type="list" allowBlank="1" showInputMessage="1" showErrorMessage="1" errorTitle="Departamento" error="Selecciona uno o varios departamentos de la lista." promptTitle="Departamento (multi)" prompt="Selección múltiple: cada clic agrega; volver a hacer clic quita. Requiere macro habilitada." sqref="A2:A14" xr:uid="{C9C91CF4-8FA2-4FC7-A431-98D409AC4E07}">
      <formula1>Departamentos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2B068-BDD0-4241-9E13-C25D707E60FD}">
  <sheetPr codeName="Hoja8">
    <tabColor rgb="FFC00000"/>
  </sheetPr>
  <dimension ref="A1:BI126"/>
  <sheetViews>
    <sheetView workbookViewId="0">
      <selection activeCell="O34" sqref="O34"/>
    </sheetView>
  </sheetViews>
  <sheetFormatPr baseColWidth="10" defaultRowHeight="13.2" x14ac:dyDescent="0.3"/>
  <cols>
    <col min="1" max="1" width="24.5546875" style="2" bestFit="1" customWidth="1"/>
    <col min="2" max="2" width="14.88671875" style="2" bestFit="1" customWidth="1"/>
    <col min="3" max="3" width="13.5546875" style="2" bestFit="1" customWidth="1"/>
    <col min="4" max="4" width="12.6640625" style="2" bestFit="1" customWidth="1"/>
    <col min="5" max="5" width="9.88671875" style="2" bestFit="1" customWidth="1"/>
    <col min="6" max="6" width="69.44140625" style="2" bestFit="1" customWidth="1"/>
    <col min="7" max="7" width="41.44140625" style="2" bestFit="1" customWidth="1"/>
    <col min="8" max="8" width="20.44140625" style="2" bestFit="1" customWidth="1"/>
    <col min="9" max="9" width="13.6640625" style="2" bestFit="1" customWidth="1"/>
    <col min="10" max="10" width="16.21875" style="2" bestFit="1" customWidth="1"/>
    <col min="11" max="11" width="34.5546875" style="2" bestFit="1" customWidth="1"/>
    <col min="12" max="12" width="15.44140625" style="2" bestFit="1" customWidth="1"/>
    <col min="13" max="13" width="18.33203125" style="2" bestFit="1" customWidth="1"/>
    <col min="14" max="14" width="11.5546875" style="2" bestFit="1" customWidth="1"/>
    <col min="15" max="15" width="30" style="2" bestFit="1" customWidth="1"/>
    <col min="16" max="16" width="17.33203125" style="2" bestFit="1" customWidth="1"/>
    <col min="17" max="17" width="24.77734375" style="2" bestFit="1" customWidth="1"/>
    <col min="18" max="18" width="14.6640625" style="2" bestFit="1" customWidth="1"/>
    <col min="19" max="19" width="18.109375" style="2" bestFit="1" customWidth="1"/>
    <col min="20" max="20" width="22.88671875" style="2" bestFit="1" customWidth="1"/>
    <col min="21" max="21" width="22.21875" style="2" bestFit="1" customWidth="1"/>
    <col min="22" max="22" width="12.5546875" style="2" bestFit="1" customWidth="1"/>
    <col min="23" max="23" width="24.109375" style="2" bestFit="1" customWidth="1"/>
    <col min="24" max="24" width="20.5546875" style="2" bestFit="1" customWidth="1"/>
    <col min="25" max="25" width="23.21875" style="2" bestFit="1" customWidth="1"/>
    <col min="26" max="26" width="26.109375" style="2" bestFit="1" customWidth="1"/>
    <col min="27" max="27" width="21.21875" style="2" bestFit="1" customWidth="1"/>
    <col min="28" max="28" width="25.88671875" style="2" bestFit="1" customWidth="1"/>
    <col min="29" max="29" width="29" style="2" bestFit="1" customWidth="1"/>
    <col min="30" max="30" width="16.6640625" style="2" bestFit="1" customWidth="1"/>
    <col min="31" max="31" width="22" style="2" bestFit="1" customWidth="1"/>
    <col min="32" max="32" width="14" style="2" bestFit="1" customWidth="1"/>
    <col min="33" max="33" width="18.88671875" style="2" bestFit="1" customWidth="1"/>
    <col min="34" max="34" width="28.33203125" style="2" bestFit="1" customWidth="1"/>
    <col min="35" max="35" width="21.77734375" style="2" bestFit="1" customWidth="1"/>
    <col min="36" max="36" width="22.6640625" style="2" bestFit="1" customWidth="1"/>
    <col min="37" max="37" width="23.6640625" style="2" bestFit="1" customWidth="1"/>
    <col min="38" max="38" width="18.6640625" style="2" bestFit="1" customWidth="1"/>
    <col min="39" max="39" width="12.5546875" style="2" bestFit="1" customWidth="1"/>
    <col min="40" max="40" width="21.21875" style="2" bestFit="1" customWidth="1"/>
    <col min="41" max="41" width="30.109375" style="2" bestFit="1" customWidth="1"/>
    <col min="42" max="42" width="23.109375" style="2" bestFit="1" customWidth="1"/>
    <col min="43" max="43" width="22.77734375" style="2" bestFit="1" customWidth="1"/>
    <col min="44" max="44" width="19.5546875" style="2" bestFit="1" customWidth="1"/>
    <col min="45" max="45" width="20.88671875" style="2" bestFit="1" customWidth="1"/>
    <col min="46" max="46" width="12" style="2" bestFit="1" customWidth="1"/>
    <col min="47" max="47" width="15.109375" style="2" bestFit="1" customWidth="1"/>
    <col min="48" max="48" width="16.33203125" style="2" bestFit="1" customWidth="1"/>
    <col min="49" max="49" width="11.33203125" style="2" customWidth="1"/>
    <col min="50" max="50" width="52.21875" style="2" bestFit="1" customWidth="1"/>
    <col min="51" max="51" width="40.5546875" style="2" bestFit="1" customWidth="1"/>
    <col min="52" max="52" width="64.5546875" style="2" bestFit="1" customWidth="1"/>
    <col min="53" max="16384" width="11.5546875" style="2"/>
  </cols>
  <sheetData>
    <row r="1" spans="1:61" x14ac:dyDescent="0.3">
      <c r="A1" s="6" t="s">
        <v>0</v>
      </c>
      <c r="B1" s="6" t="s">
        <v>34</v>
      </c>
      <c r="C1" s="6" t="s">
        <v>41</v>
      </c>
      <c r="D1" s="6" t="s">
        <v>45</v>
      </c>
      <c r="E1" s="6" t="s">
        <v>49</v>
      </c>
      <c r="F1" s="6" t="s">
        <v>53</v>
      </c>
      <c r="G1" s="6" t="s">
        <v>54</v>
      </c>
      <c r="H1" s="6" t="s">
        <v>57</v>
      </c>
      <c r="I1" s="6" t="s">
        <v>63</v>
      </c>
      <c r="J1" s="6" t="s">
        <v>68</v>
      </c>
      <c r="K1" s="6" t="s">
        <v>73</v>
      </c>
      <c r="L1" s="6" t="s">
        <v>78</v>
      </c>
      <c r="M1" s="6" t="s">
        <v>84</v>
      </c>
      <c r="N1" s="6" t="s">
        <v>93</v>
      </c>
      <c r="O1" s="6" t="s">
        <v>150</v>
      </c>
      <c r="P1" s="6" t="s">
        <v>151</v>
      </c>
      <c r="Q1" s="6" t="s">
        <v>152</v>
      </c>
      <c r="R1" s="6" t="s">
        <v>153</v>
      </c>
      <c r="S1" s="6" t="s">
        <v>154</v>
      </c>
      <c r="T1" s="6" t="s">
        <v>155</v>
      </c>
      <c r="U1" s="6" t="s">
        <v>156</v>
      </c>
      <c r="V1" s="6" t="s">
        <v>157</v>
      </c>
      <c r="W1" s="6" t="s">
        <v>158</v>
      </c>
      <c r="X1" s="6" t="s">
        <v>159</v>
      </c>
      <c r="Y1" s="6" t="s">
        <v>160</v>
      </c>
      <c r="Z1" s="6" t="s">
        <v>161</v>
      </c>
      <c r="AA1" s="6" t="s">
        <v>162</v>
      </c>
      <c r="AB1" s="6" t="s">
        <v>163</v>
      </c>
      <c r="AC1" s="6" t="s">
        <v>164</v>
      </c>
      <c r="AD1" s="6" t="s">
        <v>165</v>
      </c>
      <c r="AE1" s="6" t="s">
        <v>166</v>
      </c>
      <c r="AF1" s="6" t="s">
        <v>167</v>
      </c>
      <c r="AG1" s="6" t="s">
        <v>168</v>
      </c>
      <c r="AH1" s="6" t="s">
        <v>169</v>
      </c>
      <c r="AI1" s="6" t="s">
        <v>170</v>
      </c>
      <c r="AJ1" s="6" t="s">
        <v>171</v>
      </c>
      <c r="AK1" s="6" t="s">
        <v>172</v>
      </c>
      <c r="AL1" s="6" t="s">
        <v>173</v>
      </c>
      <c r="AM1" s="6" t="s">
        <v>174</v>
      </c>
      <c r="AN1" s="6" t="s">
        <v>175</v>
      </c>
      <c r="AO1" s="6" t="s">
        <v>176</v>
      </c>
      <c r="AP1" s="6" t="s">
        <v>177</v>
      </c>
      <c r="AQ1" s="6" t="s">
        <v>178</v>
      </c>
      <c r="AR1" s="6" t="s">
        <v>179</v>
      </c>
      <c r="AS1" s="6" t="s">
        <v>180</v>
      </c>
      <c r="AT1" s="6" t="s">
        <v>181</v>
      </c>
      <c r="AU1" s="6" t="s">
        <v>182</v>
      </c>
      <c r="AV1" s="6" t="s">
        <v>183</v>
      </c>
      <c r="AW1" s="6" t="s">
        <v>1272</v>
      </c>
      <c r="AX1" s="6" t="s">
        <v>1277</v>
      </c>
      <c r="AY1" s="6" t="s">
        <v>1285</v>
      </c>
      <c r="AZ1" s="6" t="s">
        <v>1295</v>
      </c>
      <c r="BA1" s="6" t="s">
        <v>1309</v>
      </c>
      <c r="BB1" s="6" t="s">
        <v>1318</v>
      </c>
      <c r="BC1" s="6" t="s">
        <v>1319</v>
      </c>
      <c r="BD1" s="27" t="s">
        <v>1321</v>
      </c>
      <c r="BE1" s="27" t="s">
        <v>1322</v>
      </c>
      <c r="BF1" s="27" t="s">
        <v>1323</v>
      </c>
      <c r="BG1" s="27" t="s">
        <v>1334</v>
      </c>
      <c r="BH1" s="27" t="s">
        <v>1335</v>
      </c>
      <c r="BI1" s="6" t="s">
        <v>1363</v>
      </c>
    </row>
    <row r="2" spans="1:61" x14ac:dyDescent="0.3">
      <c r="A2" s="2" t="s">
        <v>1</v>
      </c>
      <c r="B2" s="2" t="s">
        <v>35</v>
      </c>
      <c r="C2" s="2" t="s">
        <v>42</v>
      </c>
      <c r="D2" s="2" t="s">
        <v>46</v>
      </c>
      <c r="E2" s="2" t="s">
        <v>50</v>
      </c>
      <c r="F2" s="2" t="s">
        <v>1215</v>
      </c>
      <c r="H2" s="2" t="s">
        <v>58</v>
      </c>
      <c r="I2" s="2" t="s">
        <v>64</v>
      </c>
      <c r="J2" s="2" t="s">
        <v>69</v>
      </c>
      <c r="K2" s="2" t="s">
        <v>74</v>
      </c>
      <c r="L2" s="2" t="s">
        <v>79</v>
      </c>
      <c r="M2" s="2" t="s">
        <v>85</v>
      </c>
      <c r="N2" s="2" t="s">
        <v>94</v>
      </c>
      <c r="O2" s="2" t="s">
        <v>151</v>
      </c>
      <c r="P2" s="2" t="s">
        <v>184</v>
      </c>
      <c r="Q2" s="2" t="s">
        <v>195</v>
      </c>
      <c r="R2" s="2" t="s">
        <v>3</v>
      </c>
      <c r="S2" s="2" t="s">
        <v>324</v>
      </c>
      <c r="T2" s="2" t="s">
        <v>346</v>
      </c>
      <c r="U2" s="2" t="s">
        <v>391</v>
      </c>
      <c r="V2" s="2" t="s">
        <v>508</v>
      </c>
      <c r="W2" s="2" t="s">
        <v>533</v>
      </c>
      <c r="X2" s="2" t="s">
        <v>548</v>
      </c>
      <c r="Y2" s="2" t="s">
        <v>565</v>
      </c>
      <c r="Z2" s="2" t="s">
        <v>600</v>
      </c>
      <c r="AA2" s="2" t="s">
        <v>625</v>
      </c>
      <c r="AB2" s="2" t="s">
        <v>655</v>
      </c>
      <c r="AC2" s="2" t="s">
        <v>683</v>
      </c>
      <c r="AD2" s="2" t="s">
        <v>794</v>
      </c>
      <c r="AE2" s="2" t="s">
        <v>802</v>
      </c>
      <c r="AF2" s="2" t="s">
        <v>804</v>
      </c>
      <c r="AG2" s="2" t="s">
        <v>838</v>
      </c>
      <c r="AH2" s="2" t="s">
        <v>851</v>
      </c>
      <c r="AI2" s="2" t="s">
        <v>879</v>
      </c>
      <c r="AJ2" s="2" t="s">
        <v>904</v>
      </c>
      <c r="AK2" s="2" t="s">
        <v>956</v>
      </c>
      <c r="AL2" s="2" t="s">
        <v>993</v>
      </c>
      <c r="AM2" s="2" t="s">
        <v>209</v>
      </c>
      <c r="AN2" s="2" t="s">
        <v>1012</v>
      </c>
      <c r="AO2" s="2" t="s">
        <v>1025</v>
      </c>
      <c r="AP2" s="2" t="s">
        <v>1026</v>
      </c>
      <c r="AQ2" s="2" t="s">
        <v>1098</v>
      </c>
      <c r="AR2" s="2" t="s">
        <v>1122</v>
      </c>
      <c r="AS2" s="2" t="s">
        <v>1167</v>
      </c>
      <c r="AT2" s="2" t="s">
        <v>1202</v>
      </c>
      <c r="AU2" s="2" t="s">
        <v>1208</v>
      </c>
      <c r="AV2" s="2" t="s">
        <v>33</v>
      </c>
      <c r="AW2" s="2" t="s">
        <v>1273</v>
      </c>
      <c r="AX2" s="2" t="s">
        <v>1278</v>
      </c>
      <c r="AY2" s="2" t="s">
        <v>1286</v>
      </c>
      <c r="AZ2" s="2" t="s">
        <v>1296</v>
      </c>
      <c r="BA2" s="2" t="s">
        <v>1310</v>
      </c>
      <c r="BB2" s="2" t="s">
        <v>1273</v>
      </c>
      <c r="BC2" s="2" t="s">
        <v>1277</v>
      </c>
      <c r="BD2" s="28" t="s">
        <v>1324</v>
      </c>
      <c r="BE2" s="28" t="s">
        <v>1326</v>
      </c>
      <c r="BF2" s="28" t="s">
        <v>1332</v>
      </c>
      <c r="BG2" s="28" t="s">
        <v>1215</v>
      </c>
      <c r="BH2" s="28" t="s">
        <v>1321</v>
      </c>
      <c r="BI2" s="2">
        <v>2024</v>
      </c>
    </row>
    <row r="3" spans="1:61" x14ac:dyDescent="0.3">
      <c r="A3" s="2" t="s">
        <v>2</v>
      </c>
      <c r="B3" s="2" t="s">
        <v>36</v>
      </c>
      <c r="C3" s="2" t="s">
        <v>43</v>
      </c>
      <c r="D3" s="2" t="s">
        <v>47</v>
      </c>
      <c r="E3" s="2" t="s">
        <v>51</v>
      </c>
      <c r="F3" s="2" t="s">
        <v>1216</v>
      </c>
      <c r="H3" s="2" t="s">
        <v>59</v>
      </c>
      <c r="I3" s="2" t="s">
        <v>65</v>
      </c>
      <c r="J3" s="2" t="s">
        <v>70</v>
      </c>
      <c r="K3" s="2" t="s">
        <v>75</v>
      </c>
      <c r="L3" s="2" t="s">
        <v>80</v>
      </c>
      <c r="M3" s="2" t="s">
        <v>86</v>
      </c>
      <c r="N3" s="2" t="s">
        <v>95</v>
      </c>
      <c r="O3" s="2" t="s">
        <v>152</v>
      </c>
      <c r="P3" s="2" t="s">
        <v>185</v>
      </c>
      <c r="Q3" s="2" t="s">
        <v>196</v>
      </c>
      <c r="R3" s="2" t="s">
        <v>318</v>
      </c>
      <c r="S3" s="2" t="s">
        <v>325</v>
      </c>
      <c r="T3" s="2" t="s">
        <v>347</v>
      </c>
      <c r="U3" s="2" t="s">
        <v>392</v>
      </c>
      <c r="V3" s="2" t="s">
        <v>509</v>
      </c>
      <c r="W3" s="2" t="s">
        <v>534</v>
      </c>
      <c r="X3" s="2" t="s">
        <v>549</v>
      </c>
      <c r="Y3" s="2" t="s">
        <v>566</v>
      </c>
      <c r="Z3" s="2" t="s">
        <v>601</v>
      </c>
      <c r="AA3" s="2" t="s">
        <v>626</v>
      </c>
      <c r="AB3" s="2" t="s">
        <v>656</v>
      </c>
      <c r="AC3" s="2" t="s">
        <v>684</v>
      </c>
      <c r="AD3" s="2" t="s">
        <v>795</v>
      </c>
      <c r="AE3" s="2" t="s">
        <v>353</v>
      </c>
      <c r="AF3" s="2" t="s">
        <v>805</v>
      </c>
      <c r="AG3" s="2" t="s">
        <v>534</v>
      </c>
      <c r="AH3" s="2" t="s">
        <v>852</v>
      </c>
      <c r="AI3" s="2" t="s">
        <v>880</v>
      </c>
      <c r="AJ3" s="2" t="s">
        <v>684</v>
      </c>
      <c r="AK3" s="2" t="s">
        <v>957</v>
      </c>
      <c r="AL3" s="2" t="s">
        <v>911</v>
      </c>
      <c r="AM3" s="2" t="s">
        <v>399</v>
      </c>
      <c r="AN3" s="2" t="s">
        <v>1013</v>
      </c>
      <c r="AO3" s="2" t="s">
        <v>941</v>
      </c>
      <c r="AP3" s="2" t="s">
        <v>1027</v>
      </c>
      <c r="AQ3" s="2" t="s">
        <v>399</v>
      </c>
      <c r="AR3" s="2" t="s">
        <v>1123</v>
      </c>
      <c r="AS3" s="2" t="s">
        <v>1168</v>
      </c>
      <c r="AT3" s="2" t="s">
        <v>1203</v>
      </c>
      <c r="AU3" s="2" t="s">
        <v>1209</v>
      </c>
      <c r="AW3" s="2" t="s">
        <v>1274</v>
      </c>
      <c r="AX3" s="2" t="s">
        <v>1279</v>
      </c>
      <c r="AY3" s="2" t="s">
        <v>1287</v>
      </c>
      <c r="AZ3" s="2" t="s">
        <v>1297</v>
      </c>
      <c r="BA3" s="2" t="s">
        <v>1311</v>
      </c>
      <c r="BB3" s="2" t="s">
        <v>1274</v>
      </c>
      <c r="BC3" s="2" t="s">
        <v>1285</v>
      </c>
      <c r="BD3" s="28" t="s">
        <v>1325</v>
      </c>
      <c r="BE3" s="28" t="s">
        <v>1327</v>
      </c>
      <c r="BF3" s="28" t="s">
        <v>1333</v>
      </c>
      <c r="BG3" s="28" t="s">
        <v>1216</v>
      </c>
      <c r="BH3" s="28" t="s">
        <v>1322</v>
      </c>
      <c r="BI3" s="2">
        <v>2025</v>
      </c>
    </row>
    <row r="4" spans="1:61" x14ac:dyDescent="0.3">
      <c r="A4" s="2" t="s">
        <v>3</v>
      </c>
      <c r="B4" s="2" t="s">
        <v>37</v>
      </c>
      <c r="C4" s="2" t="s">
        <v>44</v>
      </c>
      <c r="D4" s="2" t="s">
        <v>48</v>
      </c>
      <c r="E4" s="2" t="s">
        <v>52</v>
      </c>
      <c r="F4" s="2" t="s">
        <v>1217</v>
      </c>
      <c r="H4" s="2" t="s">
        <v>60</v>
      </c>
      <c r="I4" s="2" t="s">
        <v>66</v>
      </c>
      <c r="J4" s="2" t="s">
        <v>71</v>
      </c>
      <c r="K4" s="2" t="s">
        <v>76</v>
      </c>
      <c r="L4" s="2" t="s">
        <v>81</v>
      </c>
      <c r="M4" s="2" t="s">
        <v>87</v>
      </c>
      <c r="N4" s="2" t="s">
        <v>96</v>
      </c>
      <c r="O4" s="2" t="s">
        <v>153</v>
      </c>
      <c r="P4" s="2" t="s">
        <v>186</v>
      </c>
      <c r="Q4" s="2" t="s">
        <v>197</v>
      </c>
      <c r="R4" s="2" t="s">
        <v>319</v>
      </c>
      <c r="S4" s="2" t="s">
        <v>326</v>
      </c>
      <c r="T4" s="2" t="s">
        <v>348</v>
      </c>
      <c r="U4" s="2" t="s">
        <v>393</v>
      </c>
      <c r="V4" s="2" t="s">
        <v>510</v>
      </c>
      <c r="W4" s="2" t="s">
        <v>535</v>
      </c>
      <c r="X4" s="2" t="s">
        <v>550</v>
      </c>
      <c r="Y4" s="2" t="s">
        <v>208</v>
      </c>
      <c r="Z4" s="2" t="s">
        <v>602</v>
      </c>
      <c r="AA4" s="2" t="s">
        <v>627</v>
      </c>
      <c r="AB4" s="2" t="s">
        <v>399</v>
      </c>
      <c r="AC4" s="2" t="s">
        <v>685</v>
      </c>
      <c r="AD4" s="2" t="s">
        <v>796</v>
      </c>
      <c r="AE4" s="2" t="s">
        <v>803</v>
      </c>
      <c r="AF4" s="2" t="s">
        <v>806</v>
      </c>
      <c r="AG4" s="2" t="s">
        <v>839</v>
      </c>
      <c r="AH4" s="2" t="s">
        <v>853</v>
      </c>
      <c r="AI4" s="2" t="s">
        <v>881</v>
      </c>
      <c r="AJ4" s="2" t="s">
        <v>905</v>
      </c>
      <c r="AK4" s="2" t="s">
        <v>958</v>
      </c>
      <c r="AL4" s="2" t="s">
        <v>994</v>
      </c>
      <c r="AM4" s="2" t="s">
        <v>1003</v>
      </c>
      <c r="AN4" s="2" t="s">
        <v>567</v>
      </c>
      <c r="AP4" s="2" t="s">
        <v>534</v>
      </c>
      <c r="AQ4" s="2" t="s">
        <v>1099</v>
      </c>
      <c r="AR4" s="2" t="s">
        <v>1124</v>
      </c>
      <c r="AS4" s="2" t="s">
        <v>1169</v>
      </c>
      <c r="AT4" s="2" t="s">
        <v>1204</v>
      </c>
      <c r="AU4" s="2" t="s">
        <v>1210</v>
      </c>
      <c r="AW4" s="2" t="s">
        <v>1275</v>
      </c>
      <c r="AX4" s="2" t="s">
        <v>1280</v>
      </c>
      <c r="AY4" s="2" t="s">
        <v>1288</v>
      </c>
      <c r="AZ4" s="2" t="s">
        <v>1298</v>
      </c>
      <c r="BA4" s="2" t="s">
        <v>1312</v>
      </c>
      <c r="BB4" s="2" t="s">
        <v>1275</v>
      </c>
      <c r="BC4" s="2" t="s">
        <v>1295</v>
      </c>
      <c r="BD4" s="28"/>
      <c r="BE4" s="28" t="s">
        <v>1328</v>
      </c>
      <c r="BF4" s="28"/>
      <c r="BG4" s="28" t="s">
        <v>1217</v>
      </c>
      <c r="BH4" s="28" t="s">
        <v>1323</v>
      </c>
      <c r="BI4" s="2">
        <v>2026</v>
      </c>
    </row>
    <row r="5" spans="1:61" x14ac:dyDescent="0.3">
      <c r="A5" s="2" t="s">
        <v>4</v>
      </c>
      <c r="B5" s="2" t="s">
        <v>38</v>
      </c>
      <c r="H5" s="2" t="s">
        <v>61</v>
      </c>
      <c r="I5" s="2" t="s">
        <v>67</v>
      </c>
      <c r="J5" s="2" t="s">
        <v>72</v>
      </c>
      <c r="K5" s="2" t="s">
        <v>77</v>
      </c>
      <c r="L5" s="2" t="s">
        <v>82</v>
      </c>
      <c r="M5" s="2" t="s">
        <v>88</v>
      </c>
      <c r="N5" s="2" t="s">
        <v>97</v>
      </c>
      <c r="O5" s="2" t="s">
        <v>154</v>
      </c>
      <c r="P5" s="2" t="s">
        <v>187</v>
      </c>
      <c r="Q5" s="2" t="s">
        <v>198</v>
      </c>
      <c r="R5" s="2" t="s">
        <v>320</v>
      </c>
      <c r="S5" s="2" t="s">
        <v>327</v>
      </c>
      <c r="T5" s="2" t="s">
        <v>349</v>
      </c>
      <c r="U5" s="2" t="s">
        <v>394</v>
      </c>
      <c r="V5" s="2" t="s">
        <v>511</v>
      </c>
      <c r="W5" s="2" t="s">
        <v>536</v>
      </c>
      <c r="X5" s="2" t="s">
        <v>551</v>
      </c>
      <c r="Y5" s="2" t="s">
        <v>567</v>
      </c>
      <c r="Z5" s="2" t="s">
        <v>603</v>
      </c>
      <c r="AA5" s="2" t="s">
        <v>628</v>
      </c>
      <c r="AB5" s="2" t="s">
        <v>657</v>
      </c>
      <c r="AC5" s="2" t="s">
        <v>686</v>
      </c>
      <c r="AD5" s="2" t="s">
        <v>797</v>
      </c>
      <c r="AE5" s="2" t="s">
        <v>438</v>
      </c>
      <c r="AF5" s="2" t="s">
        <v>807</v>
      </c>
      <c r="AG5" s="2" t="s">
        <v>840</v>
      </c>
      <c r="AH5" s="2" t="s">
        <v>854</v>
      </c>
      <c r="AI5" s="2" t="s">
        <v>882</v>
      </c>
      <c r="AJ5" s="2" t="s">
        <v>906</v>
      </c>
      <c r="AK5" s="2" t="s">
        <v>959</v>
      </c>
      <c r="AL5" s="2" t="s">
        <v>995</v>
      </c>
      <c r="AM5" s="2" t="s">
        <v>1004</v>
      </c>
      <c r="AN5" s="2" t="s">
        <v>1014</v>
      </c>
      <c r="AP5" s="2" t="s">
        <v>1028</v>
      </c>
      <c r="AQ5" s="2" t="s">
        <v>1100</v>
      </c>
      <c r="AR5" s="2" t="s">
        <v>1125</v>
      </c>
      <c r="AS5" s="2" t="s">
        <v>1170</v>
      </c>
      <c r="AT5" s="2" t="s">
        <v>1205</v>
      </c>
      <c r="AU5" s="2" t="s">
        <v>1211</v>
      </c>
      <c r="AW5" s="2" t="s">
        <v>1276</v>
      </c>
      <c r="AX5" s="2" t="s">
        <v>1281</v>
      </c>
      <c r="AY5" s="2" t="s">
        <v>1289</v>
      </c>
      <c r="AZ5" s="2" t="s">
        <v>1299</v>
      </c>
      <c r="BA5" s="2" t="s">
        <v>1313</v>
      </c>
      <c r="BB5" s="2" t="s">
        <v>1276</v>
      </c>
      <c r="BC5" s="2" t="s">
        <v>1309</v>
      </c>
      <c r="BD5" s="28"/>
      <c r="BE5" s="28" t="s">
        <v>1329</v>
      </c>
      <c r="BF5" s="28"/>
      <c r="BG5" s="28"/>
      <c r="BH5" s="28"/>
      <c r="BI5" s="2">
        <v>2027</v>
      </c>
    </row>
    <row r="6" spans="1:61" x14ac:dyDescent="0.3">
      <c r="A6" s="2" t="s">
        <v>33</v>
      </c>
      <c r="B6" s="2" t="s">
        <v>39</v>
      </c>
      <c r="G6" s="2" t="s">
        <v>55</v>
      </c>
      <c r="H6" s="2" t="s">
        <v>62</v>
      </c>
      <c r="L6" s="2" t="s">
        <v>83</v>
      </c>
      <c r="M6" s="2" t="s">
        <v>89</v>
      </c>
      <c r="N6" s="2" t="s">
        <v>98</v>
      </c>
      <c r="O6" s="2" t="s">
        <v>183</v>
      </c>
      <c r="P6" s="2" t="s">
        <v>188</v>
      </c>
      <c r="Q6" s="2" t="s">
        <v>199</v>
      </c>
      <c r="R6" s="2" t="s">
        <v>321</v>
      </c>
      <c r="S6" s="2" t="s">
        <v>328</v>
      </c>
      <c r="T6" s="2" t="s">
        <v>350</v>
      </c>
      <c r="U6" s="2" t="s">
        <v>395</v>
      </c>
      <c r="V6" s="2" t="s">
        <v>512</v>
      </c>
      <c r="W6" s="2" t="s">
        <v>537</v>
      </c>
      <c r="X6" s="2" t="s">
        <v>552</v>
      </c>
      <c r="Y6" s="2" t="s">
        <v>5</v>
      </c>
      <c r="Z6" s="2" t="s">
        <v>604</v>
      </c>
      <c r="AA6" s="2" t="s">
        <v>629</v>
      </c>
      <c r="AB6" s="2" t="s">
        <v>658</v>
      </c>
      <c r="AC6" s="2" t="s">
        <v>687</v>
      </c>
      <c r="AD6" s="2" t="s">
        <v>337</v>
      </c>
      <c r="AF6" s="2" t="s">
        <v>808</v>
      </c>
      <c r="AG6" s="2" t="s">
        <v>841</v>
      </c>
      <c r="AH6" s="2" t="s">
        <v>855</v>
      </c>
      <c r="AI6" s="2" t="s">
        <v>883</v>
      </c>
      <c r="AJ6" s="2" t="s">
        <v>907</v>
      </c>
      <c r="AK6" s="2" t="s">
        <v>960</v>
      </c>
      <c r="AL6" s="2" t="s">
        <v>996</v>
      </c>
      <c r="AM6" s="2" t="s">
        <v>13</v>
      </c>
      <c r="AN6" s="2" t="s">
        <v>1015</v>
      </c>
      <c r="AP6" s="2" t="s">
        <v>210</v>
      </c>
      <c r="AQ6" s="2" t="s">
        <v>1101</v>
      </c>
      <c r="AR6" s="2" t="s">
        <v>1126</v>
      </c>
      <c r="AS6" s="2" t="s">
        <v>208</v>
      </c>
      <c r="AT6" s="2" t="s">
        <v>1206</v>
      </c>
      <c r="AX6" s="2" t="s">
        <v>1282</v>
      </c>
      <c r="AY6" s="2" t="s">
        <v>1290</v>
      </c>
      <c r="AZ6" s="2" t="s">
        <v>1300</v>
      </c>
      <c r="BA6" s="2" t="s">
        <v>1314</v>
      </c>
      <c r="BD6" s="28"/>
      <c r="BE6" s="28" t="s">
        <v>1330</v>
      </c>
      <c r="BF6" s="28"/>
      <c r="BG6" s="28"/>
      <c r="BH6" s="28"/>
      <c r="BI6" s="2">
        <v>2028</v>
      </c>
    </row>
    <row r="7" spans="1:61" x14ac:dyDescent="0.3">
      <c r="A7" s="2" t="s">
        <v>5</v>
      </c>
      <c r="B7" s="2" t="s">
        <v>40</v>
      </c>
      <c r="G7" s="2" t="s">
        <v>56</v>
      </c>
      <c r="M7" s="2" t="s">
        <v>90</v>
      </c>
      <c r="N7" s="2" t="s">
        <v>99</v>
      </c>
      <c r="O7" s="2" t="s">
        <v>155</v>
      </c>
      <c r="P7" s="2" t="s">
        <v>189</v>
      </c>
      <c r="Q7" s="2" t="s">
        <v>200</v>
      </c>
      <c r="R7" s="2" t="s">
        <v>322</v>
      </c>
      <c r="S7" s="2" t="s">
        <v>329</v>
      </c>
      <c r="T7" s="2" t="s">
        <v>351</v>
      </c>
      <c r="U7" s="2" t="s">
        <v>396</v>
      </c>
      <c r="V7" s="2" t="s">
        <v>513</v>
      </c>
      <c r="W7" s="2" t="s">
        <v>538</v>
      </c>
      <c r="X7" s="2" t="s">
        <v>553</v>
      </c>
      <c r="Y7" s="2" t="s">
        <v>568</v>
      </c>
      <c r="Z7" s="2" t="s">
        <v>605</v>
      </c>
      <c r="AA7" s="2" t="s">
        <v>630</v>
      </c>
      <c r="AB7" s="2" t="s">
        <v>659</v>
      </c>
      <c r="AC7" s="2" t="s">
        <v>688</v>
      </c>
      <c r="AD7" s="2" t="s">
        <v>798</v>
      </c>
      <c r="AF7" s="2" t="s">
        <v>809</v>
      </c>
      <c r="AG7" s="2" t="s">
        <v>842</v>
      </c>
      <c r="AH7" s="2" t="s">
        <v>856</v>
      </c>
      <c r="AI7" s="2" t="s">
        <v>884</v>
      </c>
      <c r="AJ7" s="2" t="s">
        <v>908</v>
      </c>
      <c r="AK7" s="2" t="s">
        <v>961</v>
      </c>
      <c r="AL7" s="2" t="s">
        <v>997</v>
      </c>
      <c r="AM7" s="2" t="s">
        <v>1005</v>
      </c>
      <c r="AN7" s="2" t="s">
        <v>1016</v>
      </c>
      <c r="AP7" s="2" t="s">
        <v>1029</v>
      </c>
      <c r="AQ7" s="2" t="s">
        <v>1102</v>
      </c>
      <c r="AR7" s="2" t="s">
        <v>1127</v>
      </c>
      <c r="AS7" s="2" t="s">
        <v>5</v>
      </c>
      <c r="AT7" s="2" t="s">
        <v>1207</v>
      </c>
      <c r="AX7" s="2" t="s">
        <v>1283</v>
      </c>
      <c r="AY7" s="2" t="s">
        <v>1291</v>
      </c>
      <c r="AZ7" s="2" t="s">
        <v>1301</v>
      </c>
      <c r="BA7" s="2" t="s">
        <v>1315</v>
      </c>
      <c r="BD7" s="28"/>
      <c r="BE7" s="28" t="s">
        <v>1331</v>
      </c>
      <c r="BF7" s="28"/>
      <c r="BG7" s="28"/>
      <c r="BH7" s="28"/>
      <c r="BI7" s="2">
        <v>2029</v>
      </c>
    </row>
    <row r="8" spans="1:61" x14ac:dyDescent="0.3">
      <c r="A8" s="2" t="s">
        <v>6</v>
      </c>
      <c r="M8" s="2" t="s">
        <v>91</v>
      </c>
      <c r="N8" s="2" t="s">
        <v>100</v>
      </c>
      <c r="O8" s="2" t="s">
        <v>156</v>
      </c>
      <c r="P8" s="2" t="s">
        <v>190</v>
      </c>
      <c r="Q8" s="2" t="s">
        <v>201</v>
      </c>
      <c r="R8" s="2" t="s">
        <v>323</v>
      </c>
      <c r="S8" s="2" t="s">
        <v>330</v>
      </c>
      <c r="T8" s="2" t="s">
        <v>352</v>
      </c>
      <c r="U8" s="2" t="s">
        <v>397</v>
      </c>
      <c r="V8" s="2" t="s">
        <v>514</v>
      </c>
      <c r="W8" s="2" t="s">
        <v>539</v>
      </c>
      <c r="X8" s="2" t="s">
        <v>554</v>
      </c>
      <c r="Y8" s="2" t="s">
        <v>569</v>
      </c>
      <c r="Z8" s="2" t="s">
        <v>606</v>
      </c>
      <c r="AA8" s="2" t="s">
        <v>631</v>
      </c>
      <c r="AB8" s="2" t="s">
        <v>660</v>
      </c>
      <c r="AC8" s="2" t="s">
        <v>689</v>
      </c>
      <c r="AD8" s="2" t="s">
        <v>799</v>
      </c>
      <c r="AF8" s="2" t="s">
        <v>810</v>
      </c>
      <c r="AG8" s="2" t="s">
        <v>843</v>
      </c>
      <c r="AH8" s="2" t="s">
        <v>857</v>
      </c>
      <c r="AI8" s="2" t="s">
        <v>885</v>
      </c>
      <c r="AJ8" s="2" t="s">
        <v>395</v>
      </c>
      <c r="AK8" s="2" t="s">
        <v>962</v>
      </c>
      <c r="AL8" s="2" t="s">
        <v>998</v>
      </c>
      <c r="AM8" s="2" t="s">
        <v>1006</v>
      </c>
      <c r="AN8" s="2" t="s">
        <v>1017</v>
      </c>
      <c r="AP8" s="2" t="s">
        <v>1030</v>
      </c>
      <c r="AQ8" s="2" t="s">
        <v>1103</v>
      </c>
      <c r="AR8" s="2" t="s">
        <v>1128</v>
      </c>
      <c r="AS8" s="2" t="s">
        <v>1171</v>
      </c>
      <c r="AX8" s="2" t="s">
        <v>1284</v>
      </c>
      <c r="AY8" s="2" t="s">
        <v>1292</v>
      </c>
      <c r="AZ8" s="2" t="s">
        <v>1302</v>
      </c>
      <c r="BA8" s="2" t="s">
        <v>1316</v>
      </c>
      <c r="BD8" s="28"/>
      <c r="BE8" s="28"/>
      <c r="BF8" s="28"/>
      <c r="BG8" s="28"/>
      <c r="BH8" s="28"/>
      <c r="BI8" s="2">
        <v>2030</v>
      </c>
    </row>
    <row r="9" spans="1:61" x14ac:dyDescent="0.3">
      <c r="A9" s="2" t="s">
        <v>7</v>
      </c>
      <c r="M9" s="2" t="s">
        <v>92</v>
      </c>
      <c r="N9" s="2" t="s">
        <v>101</v>
      </c>
      <c r="O9" s="2" t="s">
        <v>157</v>
      </c>
      <c r="P9" s="2" t="s">
        <v>191</v>
      </c>
      <c r="Q9" s="2" t="s">
        <v>202</v>
      </c>
      <c r="S9" s="2" t="s">
        <v>331</v>
      </c>
      <c r="T9" s="2" t="s">
        <v>353</v>
      </c>
      <c r="U9" s="2" t="s">
        <v>398</v>
      </c>
      <c r="V9" s="2" t="s">
        <v>515</v>
      </c>
      <c r="W9" s="2" t="s">
        <v>540</v>
      </c>
      <c r="X9" s="2" t="s">
        <v>555</v>
      </c>
      <c r="Y9" s="2" t="s">
        <v>570</v>
      </c>
      <c r="Z9" s="2" t="s">
        <v>607</v>
      </c>
      <c r="AA9" s="2" t="s">
        <v>632</v>
      </c>
      <c r="AB9" s="2" t="s">
        <v>661</v>
      </c>
      <c r="AC9" s="2" t="s">
        <v>690</v>
      </c>
      <c r="AD9" s="2" t="s">
        <v>800</v>
      </c>
      <c r="AF9" s="2" t="s">
        <v>811</v>
      </c>
      <c r="AG9" s="2" t="s">
        <v>844</v>
      </c>
      <c r="AH9" s="2" t="s">
        <v>231</v>
      </c>
      <c r="AI9" s="2" t="s">
        <v>886</v>
      </c>
      <c r="AJ9" s="2" t="s">
        <v>909</v>
      </c>
      <c r="AK9" s="2" t="s">
        <v>963</v>
      </c>
      <c r="AL9" s="2" t="s">
        <v>283</v>
      </c>
      <c r="AM9" s="2" t="s">
        <v>1007</v>
      </c>
      <c r="AN9" s="2" t="s">
        <v>1018</v>
      </c>
      <c r="AP9" s="2" t="s">
        <v>214</v>
      </c>
      <c r="AQ9" s="2" t="s">
        <v>1104</v>
      </c>
      <c r="AR9" s="2" t="s">
        <v>1129</v>
      </c>
      <c r="AS9" s="2" t="s">
        <v>1172</v>
      </c>
      <c r="AY9" s="2" t="s">
        <v>1293</v>
      </c>
      <c r="AZ9" s="2" t="s">
        <v>1303</v>
      </c>
      <c r="BA9" s="2" t="s">
        <v>1317</v>
      </c>
      <c r="BD9" s="28"/>
      <c r="BE9" s="28"/>
      <c r="BF9" s="28"/>
      <c r="BG9" s="28"/>
      <c r="BH9" s="28"/>
      <c r="BI9" s="2">
        <v>2031</v>
      </c>
    </row>
    <row r="10" spans="1:61" x14ac:dyDescent="0.3">
      <c r="A10" s="2" t="s">
        <v>8</v>
      </c>
      <c r="N10" s="2" t="s">
        <v>102</v>
      </c>
      <c r="O10" s="2" t="s">
        <v>158</v>
      </c>
      <c r="P10" s="2" t="s">
        <v>192</v>
      </c>
      <c r="Q10" s="2" t="s">
        <v>203</v>
      </c>
      <c r="S10" s="2" t="s">
        <v>332</v>
      </c>
      <c r="T10" s="2" t="s">
        <v>354</v>
      </c>
      <c r="U10" s="2" t="s">
        <v>6</v>
      </c>
      <c r="V10" s="2" t="s">
        <v>516</v>
      </c>
      <c r="W10" s="2" t="s">
        <v>541</v>
      </c>
      <c r="X10" s="2" t="s">
        <v>556</v>
      </c>
      <c r="Y10" s="2" t="s">
        <v>571</v>
      </c>
      <c r="Z10" s="2" t="s">
        <v>608</v>
      </c>
      <c r="AA10" s="2" t="s">
        <v>633</v>
      </c>
      <c r="AB10" s="2" t="s">
        <v>662</v>
      </c>
      <c r="AC10" s="2" t="s">
        <v>691</v>
      </c>
      <c r="AD10" s="2" t="s">
        <v>801</v>
      </c>
      <c r="AF10" s="2" t="s">
        <v>812</v>
      </c>
      <c r="AG10" s="2" t="s">
        <v>845</v>
      </c>
      <c r="AH10" s="2" t="s">
        <v>858</v>
      </c>
      <c r="AI10" s="2" t="s">
        <v>887</v>
      </c>
      <c r="AJ10" s="2" t="s">
        <v>910</v>
      </c>
      <c r="AK10" s="2" t="s">
        <v>964</v>
      </c>
      <c r="AL10" s="2" t="s">
        <v>999</v>
      </c>
      <c r="AM10" s="2" t="s">
        <v>1008</v>
      </c>
      <c r="AN10" s="2" t="s">
        <v>1019</v>
      </c>
      <c r="AP10" s="2" t="s">
        <v>5</v>
      </c>
      <c r="AQ10" s="2" t="s">
        <v>1105</v>
      </c>
      <c r="AR10" s="2" t="s">
        <v>1130</v>
      </c>
      <c r="AS10" s="2" t="s">
        <v>1173</v>
      </c>
      <c r="AY10" s="2" t="s">
        <v>1294</v>
      </c>
      <c r="AZ10" s="2" t="s">
        <v>1304</v>
      </c>
      <c r="BD10" s="28"/>
      <c r="BE10" s="28"/>
      <c r="BF10" s="28"/>
      <c r="BG10" s="28"/>
      <c r="BH10" s="28"/>
      <c r="BI10" s="2">
        <v>2032</v>
      </c>
    </row>
    <row r="11" spans="1:61" x14ac:dyDescent="0.3">
      <c r="A11" s="2" t="s">
        <v>9</v>
      </c>
      <c r="N11" s="2" t="s">
        <v>103</v>
      </c>
      <c r="O11" s="2" t="s">
        <v>159</v>
      </c>
      <c r="P11" s="2" t="s">
        <v>193</v>
      </c>
      <c r="Q11" s="2" t="s">
        <v>204</v>
      </c>
      <c r="S11" s="2" t="s">
        <v>333</v>
      </c>
      <c r="T11" s="2" t="s">
        <v>355</v>
      </c>
      <c r="U11" s="2" t="s">
        <v>215</v>
      </c>
      <c r="V11" s="2" t="s">
        <v>517</v>
      </c>
      <c r="W11" s="2" t="s">
        <v>542</v>
      </c>
      <c r="X11" s="2" t="s">
        <v>557</v>
      </c>
      <c r="Y11" s="2" t="s">
        <v>572</v>
      </c>
      <c r="Z11" s="2" t="s">
        <v>609</v>
      </c>
      <c r="AA11" s="2" t="s">
        <v>634</v>
      </c>
      <c r="AB11" s="2" t="s">
        <v>663</v>
      </c>
      <c r="AC11" s="2" t="s">
        <v>692</v>
      </c>
      <c r="AF11" s="2" t="s">
        <v>813</v>
      </c>
      <c r="AG11" s="2" t="s">
        <v>846</v>
      </c>
      <c r="AH11" s="2" t="s">
        <v>859</v>
      </c>
      <c r="AI11" s="2" t="s">
        <v>888</v>
      </c>
      <c r="AJ11" s="2" t="s">
        <v>911</v>
      </c>
      <c r="AK11" s="2" t="s">
        <v>965</v>
      </c>
      <c r="AL11" s="2" t="s">
        <v>986</v>
      </c>
      <c r="AM11" s="2" t="s">
        <v>1009</v>
      </c>
      <c r="AN11" s="2" t="s">
        <v>1020</v>
      </c>
      <c r="AP11" s="2" t="s">
        <v>692</v>
      </c>
      <c r="AQ11" s="2" t="s">
        <v>1106</v>
      </c>
      <c r="AR11" s="2" t="s">
        <v>1131</v>
      </c>
      <c r="AS11" s="2" t="s">
        <v>1174</v>
      </c>
      <c r="AZ11" s="2" t="s">
        <v>1305</v>
      </c>
      <c r="BI11" s="2">
        <v>2033</v>
      </c>
    </row>
    <row r="12" spans="1:61" x14ac:dyDescent="0.3">
      <c r="A12" s="2" t="s">
        <v>10</v>
      </c>
      <c r="N12" s="2" t="s">
        <v>104</v>
      </c>
      <c r="O12" s="2" t="s">
        <v>160</v>
      </c>
      <c r="P12" s="2" t="s">
        <v>194</v>
      </c>
      <c r="Q12" s="2" t="s">
        <v>205</v>
      </c>
      <c r="S12" s="2" t="s">
        <v>334</v>
      </c>
      <c r="T12" s="2" t="s">
        <v>356</v>
      </c>
      <c r="U12" s="2" t="s">
        <v>399</v>
      </c>
      <c r="V12" s="2" t="s">
        <v>518</v>
      </c>
      <c r="W12" s="2" t="s">
        <v>543</v>
      </c>
      <c r="X12" s="2" t="s">
        <v>558</v>
      </c>
      <c r="Y12" s="2" t="s">
        <v>573</v>
      </c>
      <c r="Z12" s="2" t="s">
        <v>610</v>
      </c>
      <c r="AA12" s="2" t="s">
        <v>635</v>
      </c>
      <c r="AB12" s="2" t="s">
        <v>664</v>
      </c>
      <c r="AC12" s="2" t="s">
        <v>693</v>
      </c>
      <c r="AF12" s="2" t="s">
        <v>814</v>
      </c>
      <c r="AG12" s="2" t="s">
        <v>847</v>
      </c>
      <c r="AH12" s="2" t="s">
        <v>860</v>
      </c>
      <c r="AI12" s="2" t="s">
        <v>889</v>
      </c>
      <c r="AJ12" s="2" t="s">
        <v>912</v>
      </c>
      <c r="AK12" s="2" t="s">
        <v>966</v>
      </c>
      <c r="AL12" s="2" t="s">
        <v>1000</v>
      </c>
      <c r="AM12" s="2" t="s">
        <v>1010</v>
      </c>
      <c r="AN12" s="2" t="s">
        <v>1021</v>
      </c>
      <c r="AP12" s="2" t="s">
        <v>1031</v>
      </c>
      <c r="AQ12" s="2" t="s">
        <v>261</v>
      </c>
      <c r="AR12" s="2" t="s">
        <v>1132</v>
      </c>
      <c r="AS12" s="2" t="s">
        <v>1175</v>
      </c>
      <c r="AZ12" s="2" t="s">
        <v>1306</v>
      </c>
      <c r="BI12" s="2">
        <v>2034</v>
      </c>
    </row>
    <row r="13" spans="1:61" x14ac:dyDescent="0.3">
      <c r="A13" s="2" t="s">
        <v>11</v>
      </c>
      <c r="N13" s="2" t="s">
        <v>105</v>
      </c>
      <c r="O13" s="2" t="s">
        <v>161</v>
      </c>
      <c r="Q13" s="2" t="s">
        <v>206</v>
      </c>
      <c r="S13" s="2" t="s">
        <v>335</v>
      </c>
      <c r="T13" s="2" t="s">
        <v>13</v>
      </c>
      <c r="U13" s="2" t="s">
        <v>400</v>
      </c>
      <c r="V13" s="2" t="s">
        <v>519</v>
      </c>
      <c r="W13" s="2" t="s">
        <v>544</v>
      </c>
      <c r="X13" s="2" t="s">
        <v>559</v>
      </c>
      <c r="Y13" s="2" t="s">
        <v>533</v>
      </c>
      <c r="Z13" s="2" t="s">
        <v>611</v>
      </c>
      <c r="AA13" s="2" t="s">
        <v>636</v>
      </c>
      <c r="AB13" s="2" t="s">
        <v>665</v>
      </c>
      <c r="AC13" s="2" t="s">
        <v>694</v>
      </c>
      <c r="AF13" s="2" t="s">
        <v>815</v>
      </c>
      <c r="AG13" s="2" t="s">
        <v>848</v>
      </c>
      <c r="AH13" s="2" t="s">
        <v>861</v>
      </c>
      <c r="AI13" s="2" t="s">
        <v>248</v>
      </c>
      <c r="AJ13" s="2" t="s">
        <v>913</v>
      </c>
      <c r="AK13" s="2" t="s">
        <v>967</v>
      </c>
      <c r="AL13" s="2" t="s">
        <v>1001</v>
      </c>
      <c r="AM13" s="2" t="s">
        <v>1011</v>
      </c>
      <c r="AN13" s="2" t="s">
        <v>1022</v>
      </c>
      <c r="AP13" s="2" t="s">
        <v>1032</v>
      </c>
      <c r="AQ13" s="2" t="s">
        <v>1107</v>
      </c>
      <c r="AR13" s="2" t="s">
        <v>1133</v>
      </c>
      <c r="AS13" s="2" t="s">
        <v>327</v>
      </c>
      <c r="AZ13" s="2" t="s">
        <v>1307</v>
      </c>
      <c r="BI13" s="2">
        <v>2035</v>
      </c>
    </row>
    <row r="14" spans="1:61" x14ac:dyDescent="0.3">
      <c r="A14" s="2" t="s">
        <v>12</v>
      </c>
      <c r="O14" s="2" t="s">
        <v>162</v>
      </c>
      <c r="Q14" s="2" t="s">
        <v>207</v>
      </c>
      <c r="S14" s="2" t="s">
        <v>336</v>
      </c>
      <c r="T14" s="2" t="s">
        <v>357</v>
      </c>
      <c r="U14" s="2" t="s">
        <v>7</v>
      </c>
      <c r="V14" s="2" t="s">
        <v>520</v>
      </c>
      <c r="W14" s="2" t="s">
        <v>545</v>
      </c>
      <c r="X14" s="2" t="s">
        <v>278</v>
      </c>
      <c r="Y14" s="2" t="s">
        <v>574</v>
      </c>
      <c r="Z14" s="2" t="s">
        <v>612</v>
      </c>
      <c r="AA14" s="2" t="s">
        <v>637</v>
      </c>
      <c r="AB14" s="2" t="s">
        <v>666</v>
      </c>
      <c r="AC14" s="2" t="s">
        <v>695</v>
      </c>
      <c r="AF14" s="2" t="s">
        <v>249</v>
      </c>
      <c r="AG14" s="2" t="s">
        <v>849</v>
      </c>
      <c r="AH14" s="2" t="s">
        <v>862</v>
      </c>
      <c r="AI14" s="2" t="s">
        <v>862</v>
      </c>
      <c r="AJ14" s="2" t="s">
        <v>13</v>
      </c>
      <c r="AK14" s="2" t="s">
        <v>968</v>
      </c>
      <c r="AL14" s="2" t="s">
        <v>1002</v>
      </c>
      <c r="AN14" s="2" t="s">
        <v>1023</v>
      </c>
      <c r="AP14" s="2" t="s">
        <v>1033</v>
      </c>
      <c r="AQ14" s="2" t="s">
        <v>1108</v>
      </c>
      <c r="AR14" s="2" t="s">
        <v>1134</v>
      </c>
      <c r="AS14" s="2" t="s">
        <v>1176</v>
      </c>
      <c r="AZ14" s="2" t="s">
        <v>1308</v>
      </c>
    </row>
    <row r="15" spans="1:61" x14ac:dyDescent="0.3">
      <c r="A15" s="2" t="s">
        <v>13</v>
      </c>
      <c r="O15" s="2" t="s">
        <v>163</v>
      </c>
      <c r="Q15" s="2" t="s">
        <v>208</v>
      </c>
      <c r="S15" s="2" t="s">
        <v>337</v>
      </c>
      <c r="T15" s="2" t="s">
        <v>358</v>
      </c>
      <c r="U15" s="2" t="s">
        <v>401</v>
      </c>
      <c r="V15" s="2" t="s">
        <v>521</v>
      </c>
      <c r="W15" s="2" t="s">
        <v>546</v>
      </c>
      <c r="X15" s="2" t="s">
        <v>560</v>
      </c>
      <c r="Y15" s="2" t="s">
        <v>575</v>
      </c>
      <c r="Z15" s="2" t="s">
        <v>613</v>
      </c>
      <c r="AA15" s="2" t="s">
        <v>638</v>
      </c>
      <c r="AB15" s="2" t="s">
        <v>667</v>
      </c>
      <c r="AC15" s="2" t="s">
        <v>696</v>
      </c>
      <c r="AF15" s="2" t="s">
        <v>816</v>
      </c>
      <c r="AG15" s="2" t="s">
        <v>850</v>
      </c>
      <c r="AH15" s="2" t="s">
        <v>863</v>
      </c>
      <c r="AI15" s="2" t="s">
        <v>890</v>
      </c>
      <c r="AJ15" s="2" t="s">
        <v>914</v>
      </c>
      <c r="AK15" s="2" t="s">
        <v>969</v>
      </c>
      <c r="AN15" s="2" t="s">
        <v>1024</v>
      </c>
      <c r="AP15" s="2" t="s">
        <v>1034</v>
      </c>
      <c r="AQ15" s="2" t="s">
        <v>1109</v>
      </c>
      <c r="AR15" s="2" t="s">
        <v>1135</v>
      </c>
      <c r="AS15" s="2" t="s">
        <v>1177</v>
      </c>
    </row>
    <row r="16" spans="1:61" x14ac:dyDescent="0.3">
      <c r="A16" s="2" t="s">
        <v>14</v>
      </c>
      <c r="O16" s="2" t="s">
        <v>164</v>
      </c>
      <c r="Q16" s="2" t="s">
        <v>209</v>
      </c>
      <c r="S16" s="2" t="s">
        <v>338</v>
      </c>
      <c r="T16" s="2" t="s">
        <v>359</v>
      </c>
      <c r="U16" s="2" t="s">
        <v>402</v>
      </c>
      <c r="V16" s="2" t="s">
        <v>522</v>
      </c>
      <c r="W16" s="2" t="s">
        <v>547</v>
      </c>
      <c r="X16" s="2" t="s">
        <v>561</v>
      </c>
      <c r="Y16" s="2" t="s">
        <v>576</v>
      </c>
      <c r="Z16" s="2" t="s">
        <v>614</v>
      </c>
      <c r="AA16" s="2" t="s">
        <v>639</v>
      </c>
      <c r="AB16" s="2" t="s">
        <v>668</v>
      </c>
      <c r="AC16" s="2" t="s">
        <v>697</v>
      </c>
      <c r="AF16" s="2" t="s">
        <v>817</v>
      </c>
      <c r="AG16" s="2" t="s">
        <v>389</v>
      </c>
      <c r="AH16" s="2" t="s">
        <v>864</v>
      </c>
      <c r="AI16" s="2" t="s">
        <v>891</v>
      </c>
      <c r="AJ16" s="2" t="s">
        <v>915</v>
      </c>
      <c r="AK16" s="2" t="s">
        <v>970</v>
      </c>
      <c r="AP16" s="2" t="s">
        <v>1035</v>
      </c>
      <c r="AQ16" s="2" t="s">
        <v>1110</v>
      </c>
      <c r="AR16" s="2" t="s">
        <v>1136</v>
      </c>
      <c r="AS16" s="2" t="s">
        <v>1178</v>
      </c>
    </row>
    <row r="17" spans="1:45" x14ac:dyDescent="0.3">
      <c r="A17" s="2" t="s">
        <v>15</v>
      </c>
      <c r="O17" s="2" t="s">
        <v>165</v>
      </c>
      <c r="Q17" s="2" t="s">
        <v>210</v>
      </c>
      <c r="S17" s="2" t="s">
        <v>339</v>
      </c>
      <c r="T17" s="2" t="s">
        <v>360</v>
      </c>
      <c r="U17" s="2" t="s">
        <v>403</v>
      </c>
      <c r="V17" s="2" t="s">
        <v>523</v>
      </c>
      <c r="W17" s="2" t="s">
        <v>309</v>
      </c>
      <c r="X17" s="2" t="s">
        <v>562</v>
      </c>
      <c r="Y17" s="2" t="s">
        <v>577</v>
      </c>
      <c r="Z17" s="2" t="s">
        <v>615</v>
      </c>
      <c r="AA17" s="2" t="s">
        <v>640</v>
      </c>
      <c r="AB17" s="2" t="s">
        <v>669</v>
      </c>
      <c r="AC17" s="2" t="s">
        <v>698</v>
      </c>
      <c r="AF17" s="2" t="s">
        <v>818</v>
      </c>
      <c r="AH17" s="2" t="s">
        <v>865</v>
      </c>
      <c r="AI17" s="2" t="s">
        <v>892</v>
      </c>
      <c r="AJ17" s="2" t="s">
        <v>916</v>
      </c>
      <c r="AK17" s="2" t="s">
        <v>971</v>
      </c>
      <c r="AP17" s="2" t="s">
        <v>1036</v>
      </c>
      <c r="AQ17" s="2" t="s">
        <v>1111</v>
      </c>
      <c r="AR17" s="2" t="s">
        <v>1137</v>
      </c>
      <c r="AS17" s="2" t="s">
        <v>1179</v>
      </c>
    </row>
    <row r="18" spans="1:45" x14ac:dyDescent="0.3">
      <c r="A18" s="2" t="s">
        <v>16</v>
      </c>
      <c r="O18" s="2" t="s">
        <v>166</v>
      </c>
      <c r="Q18" s="2" t="s">
        <v>211</v>
      </c>
      <c r="S18" s="2" t="s">
        <v>278</v>
      </c>
      <c r="T18" s="2" t="s">
        <v>361</v>
      </c>
      <c r="U18" s="2" t="s">
        <v>404</v>
      </c>
      <c r="V18" s="2" t="s">
        <v>524</v>
      </c>
      <c r="X18" s="2" t="s">
        <v>563</v>
      </c>
      <c r="Y18" s="2" t="s">
        <v>578</v>
      </c>
      <c r="Z18" s="2" t="s">
        <v>616</v>
      </c>
      <c r="AA18" s="2" t="s">
        <v>641</v>
      </c>
      <c r="AB18" s="2" t="s">
        <v>670</v>
      </c>
      <c r="AC18" s="2" t="s">
        <v>699</v>
      </c>
      <c r="AF18" s="2" t="s">
        <v>819</v>
      </c>
      <c r="AH18" s="2" t="s">
        <v>866</v>
      </c>
      <c r="AI18" s="2" t="s">
        <v>893</v>
      </c>
      <c r="AJ18" s="2" t="s">
        <v>917</v>
      </c>
      <c r="AK18" s="2" t="s">
        <v>972</v>
      </c>
      <c r="AP18" s="2" t="s">
        <v>1037</v>
      </c>
      <c r="AQ18" s="2" t="s">
        <v>1112</v>
      </c>
      <c r="AR18" s="2" t="s">
        <v>1138</v>
      </c>
      <c r="AS18" s="2" t="s">
        <v>1180</v>
      </c>
    </row>
    <row r="19" spans="1:45" x14ac:dyDescent="0.3">
      <c r="A19" s="2" t="s">
        <v>17</v>
      </c>
      <c r="O19" s="2" t="s">
        <v>167</v>
      </c>
      <c r="Q19" s="2" t="s">
        <v>212</v>
      </c>
      <c r="S19" s="2" t="s">
        <v>340</v>
      </c>
      <c r="T19" s="2" t="s">
        <v>362</v>
      </c>
      <c r="U19" s="2" t="s">
        <v>405</v>
      </c>
      <c r="V19" s="2" t="s">
        <v>525</v>
      </c>
      <c r="X19" s="2" t="s">
        <v>564</v>
      </c>
      <c r="Y19" s="2" t="s">
        <v>579</v>
      </c>
      <c r="Z19" s="2" t="s">
        <v>617</v>
      </c>
      <c r="AA19" s="2" t="s">
        <v>642</v>
      </c>
      <c r="AB19" s="2" t="s">
        <v>671</v>
      </c>
      <c r="AC19" s="2" t="s">
        <v>700</v>
      </c>
      <c r="AF19" s="2" t="s">
        <v>820</v>
      </c>
      <c r="AH19" s="2" t="s">
        <v>867</v>
      </c>
      <c r="AI19" s="2" t="s">
        <v>894</v>
      </c>
      <c r="AJ19" s="2" t="s">
        <v>238</v>
      </c>
      <c r="AK19" s="2" t="s">
        <v>973</v>
      </c>
      <c r="AP19" s="2" t="s">
        <v>1038</v>
      </c>
      <c r="AQ19" s="2" t="s">
        <v>1113</v>
      </c>
      <c r="AR19" s="2" t="s">
        <v>1139</v>
      </c>
      <c r="AS19" s="2" t="s">
        <v>1181</v>
      </c>
    </row>
    <row r="20" spans="1:45" x14ac:dyDescent="0.3">
      <c r="A20" s="2" t="s">
        <v>18</v>
      </c>
      <c r="O20" s="2" t="s">
        <v>168</v>
      </c>
      <c r="Q20" s="2" t="s">
        <v>213</v>
      </c>
      <c r="S20" s="2" t="s">
        <v>341</v>
      </c>
      <c r="T20" s="2" t="s">
        <v>363</v>
      </c>
      <c r="U20" s="2" t="s">
        <v>406</v>
      </c>
      <c r="V20" s="2" t="s">
        <v>25</v>
      </c>
      <c r="X20" s="2" t="s">
        <v>389</v>
      </c>
      <c r="Y20" s="2" t="s">
        <v>580</v>
      </c>
      <c r="Z20" s="2" t="s">
        <v>618</v>
      </c>
      <c r="AA20" s="2" t="s">
        <v>643</v>
      </c>
      <c r="AB20" s="2" t="s">
        <v>672</v>
      </c>
      <c r="AC20" s="2" t="s">
        <v>701</v>
      </c>
      <c r="AF20" s="2" t="s">
        <v>821</v>
      </c>
      <c r="AH20" s="2" t="s">
        <v>868</v>
      </c>
      <c r="AI20" s="2" t="s">
        <v>895</v>
      </c>
      <c r="AJ20" s="2" t="s">
        <v>918</v>
      </c>
      <c r="AK20" s="2" t="s">
        <v>974</v>
      </c>
      <c r="AP20" s="2" t="s">
        <v>1039</v>
      </c>
      <c r="AQ20" s="2" t="s">
        <v>1114</v>
      </c>
      <c r="AR20" s="2" t="s">
        <v>1140</v>
      </c>
      <c r="AS20" s="2" t="s">
        <v>1182</v>
      </c>
    </row>
    <row r="21" spans="1:45" x14ac:dyDescent="0.3">
      <c r="A21" s="2" t="s">
        <v>19</v>
      </c>
      <c r="O21" s="2" t="s">
        <v>169</v>
      </c>
      <c r="Q21" s="2" t="s">
        <v>214</v>
      </c>
      <c r="S21" s="2" t="s">
        <v>342</v>
      </c>
      <c r="T21" s="2" t="s">
        <v>364</v>
      </c>
      <c r="U21" s="2" t="s">
        <v>407</v>
      </c>
      <c r="V21" s="2" t="s">
        <v>526</v>
      </c>
      <c r="Y21" s="2" t="s">
        <v>581</v>
      </c>
      <c r="Z21" s="2" t="s">
        <v>619</v>
      </c>
      <c r="AA21" s="2" t="s">
        <v>644</v>
      </c>
      <c r="AB21" s="2" t="s">
        <v>673</v>
      </c>
      <c r="AC21" s="2" t="s">
        <v>702</v>
      </c>
      <c r="AF21" s="2" t="s">
        <v>822</v>
      </c>
      <c r="AH21" s="2" t="s">
        <v>869</v>
      </c>
      <c r="AI21" s="2" t="s">
        <v>896</v>
      </c>
      <c r="AJ21" s="2" t="s">
        <v>919</v>
      </c>
      <c r="AK21" s="2" t="s">
        <v>975</v>
      </c>
      <c r="AP21" s="2" t="s">
        <v>1040</v>
      </c>
      <c r="AQ21" s="2" t="s">
        <v>1115</v>
      </c>
      <c r="AR21" s="2" t="s">
        <v>1141</v>
      </c>
      <c r="AS21" s="2" t="s">
        <v>1183</v>
      </c>
    </row>
    <row r="22" spans="1:45" x14ac:dyDescent="0.3">
      <c r="A22" s="2" t="s">
        <v>20</v>
      </c>
      <c r="O22" s="2" t="s">
        <v>170</v>
      </c>
      <c r="Q22" s="2" t="s">
        <v>215</v>
      </c>
      <c r="S22" s="2" t="s">
        <v>343</v>
      </c>
      <c r="T22" s="2" t="s">
        <v>365</v>
      </c>
      <c r="U22" s="2" t="s">
        <v>408</v>
      </c>
      <c r="V22" s="2" t="s">
        <v>527</v>
      </c>
      <c r="Y22" s="2" t="s">
        <v>582</v>
      </c>
      <c r="Z22" s="2" t="s">
        <v>620</v>
      </c>
      <c r="AA22" s="2" t="s">
        <v>645</v>
      </c>
      <c r="AB22" s="2" t="s">
        <v>674</v>
      </c>
      <c r="AC22" s="2" t="s">
        <v>703</v>
      </c>
      <c r="AF22" s="2" t="s">
        <v>823</v>
      </c>
      <c r="AH22" s="2" t="s">
        <v>870</v>
      </c>
      <c r="AI22" s="2" t="s">
        <v>897</v>
      </c>
      <c r="AJ22" s="2" t="s">
        <v>573</v>
      </c>
      <c r="AK22" s="2" t="s">
        <v>976</v>
      </c>
      <c r="AP22" s="2" t="s">
        <v>230</v>
      </c>
      <c r="AQ22" s="2" t="s">
        <v>1116</v>
      </c>
      <c r="AR22" s="2" t="s">
        <v>1142</v>
      </c>
      <c r="AS22" s="2" t="s">
        <v>1184</v>
      </c>
    </row>
    <row r="23" spans="1:45" x14ac:dyDescent="0.3">
      <c r="A23" s="2" t="s">
        <v>21</v>
      </c>
      <c r="O23" s="2" t="s">
        <v>171</v>
      </c>
      <c r="Q23" s="2" t="s">
        <v>216</v>
      </c>
      <c r="S23" s="2" t="s">
        <v>344</v>
      </c>
      <c r="T23" s="2" t="s">
        <v>366</v>
      </c>
      <c r="U23" s="2" t="s">
        <v>409</v>
      </c>
      <c r="V23" s="2" t="s">
        <v>528</v>
      </c>
      <c r="Y23" s="2" t="s">
        <v>367</v>
      </c>
      <c r="Z23" s="2" t="s">
        <v>621</v>
      </c>
      <c r="AA23" s="2" t="s">
        <v>646</v>
      </c>
      <c r="AB23" s="2" t="s">
        <v>675</v>
      </c>
      <c r="AC23" s="2" t="s">
        <v>704</v>
      </c>
      <c r="AF23" s="2" t="s">
        <v>824</v>
      </c>
      <c r="AH23" s="2" t="s">
        <v>526</v>
      </c>
      <c r="AI23" s="2" t="s">
        <v>898</v>
      </c>
      <c r="AJ23" s="2" t="s">
        <v>920</v>
      </c>
      <c r="AK23" s="2" t="s">
        <v>977</v>
      </c>
      <c r="AP23" s="2" t="s">
        <v>1041</v>
      </c>
      <c r="AQ23" s="2" t="s">
        <v>1117</v>
      </c>
      <c r="AR23" s="2" t="s">
        <v>1143</v>
      </c>
      <c r="AS23" s="2" t="s">
        <v>1185</v>
      </c>
    </row>
    <row r="24" spans="1:45" x14ac:dyDescent="0.3">
      <c r="A24" s="2" t="s">
        <v>22</v>
      </c>
      <c r="O24" s="2" t="s">
        <v>172</v>
      </c>
      <c r="Q24" s="2" t="s">
        <v>217</v>
      </c>
      <c r="S24" s="2" t="s">
        <v>345</v>
      </c>
      <c r="T24" s="2" t="s">
        <v>367</v>
      </c>
      <c r="U24" s="2" t="s">
        <v>410</v>
      </c>
      <c r="V24" s="2" t="s">
        <v>529</v>
      </c>
      <c r="Y24" s="2" t="s">
        <v>583</v>
      </c>
      <c r="Z24" s="2" t="s">
        <v>622</v>
      </c>
      <c r="AA24" s="2" t="s">
        <v>647</v>
      </c>
      <c r="AB24" s="2" t="s">
        <v>676</v>
      </c>
      <c r="AC24" s="2" t="s">
        <v>705</v>
      </c>
      <c r="AF24" s="2" t="s">
        <v>523</v>
      </c>
      <c r="AH24" s="2" t="s">
        <v>871</v>
      </c>
      <c r="AI24" s="2" t="s">
        <v>543</v>
      </c>
      <c r="AJ24" s="2" t="s">
        <v>921</v>
      </c>
      <c r="AK24" s="2" t="s">
        <v>978</v>
      </c>
      <c r="AP24" s="2" t="s">
        <v>1042</v>
      </c>
      <c r="AQ24" s="2" t="s">
        <v>1118</v>
      </c>
      <c r="AR24" s="2" t="s">
        <v>1144</v>
      </c>
      <c r="AS24" s="2" t="s">
        <v>1186</v>
      </c>
    </row>
    <row r="25" spans="1:45" x14ac:dyDescent="0.3">
      <c r="A25" s="2" t="s">
        <v>23</v>
      </c>
      <c r="O25" s="2" t="s">
        <v>173</v>
      </c>
      <c r="Q25" s="2" t="s">
        <v>218</v>
      </c>
      <c r="T25" s="2" t="s">
        <v>368</v>
      </c>
      <c r="U25" s="2" t="s">
        <v>411</v>
      </c>
      <c r="V25" s="2" t="s">
        <v>530</v>
      </c>
      <c r="Y25" s="2" t="s">
        <v>449</v>
      </c>
      <c r="Z25" s="2" t="s">
        <v>623</v>
      </c>
      <c r="AA25" s="2" t="s">
        <v>648</v>
      </c>
      <c r="AB25" s="2" t="s">
        <v>677</v>
      </c>
      <c r="AC25" s="2" t="s">
        <v>706</v>
      </c>
      <c r="AF25" s="2" t="s">
        <v>825</v>
      </c>
      <c r="AH25" s="2" t="s">
        <v>872</v>
      </c>
      <c r="AI25" s="2" t="s">
        <v>899</v>
      </c>
      <c r="AJ25" s="2" t="s">
        <v>922</v>
      </c>
      <c r="AK25" s="2" t="s">
        <v>979</v>
      </c>
      <c r="AP25" s="2" t="s">
        <v>1043</v>
      </c>
      <c r="AQ25" s="2" t="s">
        <v>1119</v>
      </c>
      <c r="AR25" s="2" t="s">
        <v>1145</v>
      </c>
      <c r="AS25" s="2" t="s">
        <v>261</v>
      </c>
    </row>
    <row r="26" spans="1:45" x14ac:dyDescent="0.3">
      <c r="A26" s="2" t="s">
        <v>24</v>
      </c>
      <c r="O26" s="2" t="s">
        <v>174</v>
      </c>
      <c r="Q26" s="2" t="s">
        <v>7</v>
      </c>
      <c r="T26" s="2" t="s">
        <v>369</v>
      </c>
      <c r="U26" s="2" t="s">
        <v>412</v>
      </c>
      <c r="V26" s="2" t="s">
        <v>531</v>
      </c>
      <c r="Y26" s="2" t="s">
        <v>584</v>
      </c>
      <c r="Z26" s="2" t="s">
        <v>624</v>
      </c>
      <c r="AA26" s="2" t="s">
        <v>649</v>
      </c>
      <c r="AB26" s="2" t="s">
        <v>282</v>
      </c>
      <c r="AC26" s="2" t="s">
        <v>359</v>
      </c>
      <c r="AF26" s="2" t="s">
        <v>826</v>
      </c>
      <c r="AH26" s="2" t="s">
        <v>873</v>
      </c>
      <c r="AI26" s="2" t="s">
        <v>900</v>
      </c>
      <c r="AJ26" s="2" t="s">
        <v>923</v>
      </c>
      <c r="AK26" s="2" t="s">
        <v>980</v>
      </c>
      <c r="AP26" s="2" t="s">
        <v>1044</v>
      </c>
      <c r="AQ26" s="2" t="s">
        <v>1120</v>
      </c>
      <c r="AR26" s="2" t="s">
        <v>1146</v>
      </c>
      <c r="AS26" s="2" t="s">
        <v>189</v>
      </c>
    </row>
    <row r="27" spans="1:45" x14ac:dyDescent="0.3">
      <c r="A27" s="2" t="s">
        <v>25</v>
      </c>
      <c r="O27" s="2" t="s">
        <v>175</v>
      </c>
      <c r="Q27" s="2" t="s">
        <v>219</v>
      </c>
      <c r="T27" s="2" t="s">
        <v>370</v>
      </c>
      <c r="U27" s="2" t="s">
        <v>413</v>
      </c>
      <c r="V27" s="2" t="s">
        <v>532</v>
      </c>
      <c r="Y27" s="2" t="s">
        <v>585</v>
      </c>
      <c r="AA27" s="2" t="s">
        <v>525</v>
      </c>
      <c r="AB27" s="2" t="s">
        <v>678</v>
      </c>
      <c r="AC27" s="2" t="s">
        <v>707</v>
      </c>
      <c r="AF27" s="2" t="s">
        <v>827</v>
      </c>
      <c r="AH27" s="2" t="s">
        <v>874</v>
      </c>
      <c r="AI27" s="2" t="s">
        <v>901</v>
      </c>
      <c r="AJ27" s="2" t="s">
        <v>924</v>
      </c>
      <c r="AK27" s="2" t="s">
        <v>981</v>
      </c>
      <c r="AP27" s="2" t="s">
        <v>1045</v>
      </c>
      <c r="AQ27" s="2" t="s">
        <v>28</v>
      </c>
      <c r="AR27" s="2" t="s">
        <v>1147</v>
      </c>
      <c r="AS27" s="2" t="s">
        <v>1187</v>
      </c>
    </row>
    <row r="28" spans="1:45" x14ac:dyDescent="0.3">
      <c r="A28" s="2" t="s">
        <v>26</v>
      </c>
      <c r="O28" s="2" t="s">
        <v>176</v>
      </c>
      <c r="Q28" s="2" t="s">
        <v>220</v>
      </c>
      <c r="T28" s="2" t="s">
        <v>371</v>
      </c>
      <c r="U28" s="2" t="s">
        <v>414</v>
      </c>
      <c r="Y28" s="2" t="s">
        <v>586</v>
      </c>
      <c r="AA28" s="2" t="s">
        <v>650</v>
      </c>
      <c r="AB28" s="2" t="s">
        <v>679</v>
      </c>
      <c r="AC28" s="2" t="s">
        <v>708</v>
      </c>
      <c r="AF28" s="2" t="s">
        <v>828</v>
      </c>
      <c r="AH28" s="2" t="s">
        <v>875</v>
      </c>
      <c r="AI28" s="2" t="s">
        <v>902</v>
      </c>
      <c r="AJ28" s="2" t="s">
        <v>925</v>
      </c>
      <c r="AK28" s="2" t="s">
        <v>982</v>
      </c>
      <c r="AP28" s="2" t="s">
        <v>1046</v>
      </c>
      <c r="AQ28" s="2" t="s">
        <v>1121</v>
      </c>
      <c r="AR28" s="2" t="s">
        <v>1148</v>
      </c>
      <c r="AS28" s="2" t="s">
        <v>1188</v>
      </c>
    </row>
    <row r="29" spans="1:45" x14ac:dyDescent="0.3">
      <c r="A29" s="2" t="s">
        <v>27</v>
      </c>
      <c r="O29" s="2" t="s">
        <v>177</v>
      </c>
      <c r="Q29" s="2" t="s">
        <v>221</v>
      </c>
      <c r="T29" s="2" t="s">
        <v>372</v>
      </c>
      <c r="U29" s="2" t="s">
        <v>415</v>
      </c>
      <c r="Y29" s="2" t="s">
        <v>587</v>
      </c>
      <c r="AA29" s="2" t="s">
        <v>651</v>
      </c>
      <c r="AB29" s="2" t="s">
        <v>680</v>
      </c>
      <c r="AC29" s="2" t="s">
        <v>709</v>
      </c>
      <c r="AF29" s="2" t="s">
        <v>829</v>
      </c>
      <c r="AH29" s="2" t="s">
        <v>876</v>
      </c>
      <c r="AI29" s="2" t="s">
        <v>623</v>
      </c>
      <c r="AJ29" s="2" t="s">
        <v>926</v>
      </c>
      <c r="AK29" s="2" t="s">
        <v>193</v>
      </c>
      <c r="AP29" s="2" t="s">
        <v>359</v>
      </c>
      <c r="AR29" s="2" t="s">
        <v>1149</v>
      </c>
      <c r="AS29" s="2" t="s">
        <v>1189</v>
      </c>
    </row>
    <row r="30" spans="1:45" x14ac:dyDescent="0.3">
      <c r="A30" s="2" t="s">
        <v>28</v>
      </c>
      <c r="O30" s="2" t="s">
        <v>178</v>
      </c>
      <c r="Q30" s="2" t="s">
        <v>222</v>
      </c>
      <c r="T30" s="2" t="s">
        <v>373</v>
      </c>
      <c r="U30" s="2" t="s">
        <v>416</v>
      </c>
      <c r="Y30" s="2" t="s">
        <v>588</v>
      </c>
      <c r="AA30" s="2" t="s">
        <v>652</v>
      </c>
      <c r="AB30" s="2" t="s">
        <v>681</v>
      </c>
      <c r="AC30" s="2" t="s">
        <v>710</v>
      </c>
      <c r="AF30" s="2" t="s">
        <v>472</v>
      </c>
      <c r="AH30" s="2" t="s">
        <v>877</v>
      </c>
      <c r="AI30" s="2" t="s">
        <v>903</v>
      </c>
      <c r="AJ30" s="2" t="s">
        <v>927</v>
      </c>
      <c r="AK30" s="2" t="s">
        <v>983</v>
      </c>
      <c r="AP30" s="2" t="s">
        <v>1047</v>
      </c>
      <c r="AR30" s="2" t="s">
        <v>1150</v>
      </c>
      <c r="AS30" s="2" t="s">
        <v>899</v>
      </c>
    </row>
    <row r="31" spans="1:45" x14ac:dyDescent="0.3">
      <c r="A31" s="2" t="s">
        <v>29</v>
      </c>
      <c r="O31" s="2" t="s">
        <v>179</v>
      </c>
      <c r="Q31" s="2" t="s">
        <v>223</v>
      </c>
      <c r="T31" s="2" t="s">
        <v>374</v>
      </c>
      <c r="U31" s="2" t="s">
        <v>417</v>
      </c>
      <c r="Y31" s="2" t="s">
        <v>589</v>
      </c>
      <c r="AA31" s="2" t="s">
        <v>653</v>
      </c>
      <c r="AB31" s="2" t="s">
        <v>682</v>
      </c>
      <c r="AC31" s="2" t="s">
        <v>711</v>
      </c>
      <c r="AF31" s="2" t="s">
        <v>830</v>
      </c>
      <c r="AH31" s="2" t="s">
        <v>878</v>
      </c>
      <c r="AJ31" s="2" t="s">
        <v>928</v>
      </c>
      <c r="AK31" s="2" t="s">
        <v>984</v>
      </c>
      <c r="AP31" s="2" t="s">
        <v>1048</v>
      </c>
      <c r="AR31" s="2" t="s">
        <v>1151</v>
      </c>
      <c r="AS31" s="2" t="s">
        <v>1190</v>
      </c>
    </row>
    <row r="32" spans="1:45" x14ac:dyDescent="0.3">
      <c r="A32" s="2" t="s">
        <v>30</v>
      </c>
      <c r="O32" s="2" t="s">
        <v>180</v>
      </c>
      <c r="Q32" s="2" t="s">
        <v>224</v>
      </c>
      <c r="T32" s="2" t="s">
        <v>375</v>
      </c>
      <c r="U32" s="2" t="s">
        <v>418</v>
      </c>
      <c r="Y32" s="2" t="s">
        <v>590</v>
      </c>
      <c r="AA32" s="2" t="s">
        <v>654</v>
      </c>
      <c r="AC32" s="2" t="s">
        <v>712</v>
      </c>
      <c r="AF32" s="2" t="s">
        <v>831</v>
      </c>
      <c r="AJ32" s="2" t="s">
        <v>929</v>
      </c>
      <c r="AK32" s="2" t="s">
        <v>985</v>
      </c>
      <c r="AP32" s="2" t="s">
        <v>1049</v>
      </c>
      <c r="AR32" s="2" t="s">
        <v>1152</v>
      </c>
      <c r="AS32" s="2" t="s">
        <v>1191</v>
      </c>
    </row>
    <row r="33" spans="1:45" x14ac:dyDescent="0.3">
      <c r="A33" s="2" t="s">
        <v>31</v>
      </c>
      <c r="O33" s="2" t="s">
        <v>181</v>
      </c>
      <c r="Q33" s="2" t="s">
        <v>225</v>
      </c>
      <c r="T33" s="2" t="s">
        <v>376</v>
      </c>
      <c r="U33" s="2" t="s">
        <v>419</v>
      </c>
      <c r="Y33" s="2" t="s">
        <v>381</v>
      </c>
      <c r="AC33" s="2" t="s">
        <v>713</v>
      </c>
      <c r="AF33" s="2" t="s">
        <v>832</v>
      </c>
      <c r="AJ33" s="2" t="s">
        <v>930</v>
      </c>
      <c r="AK33" s="2" t="s">
        <v>756</v>
      </c>
      <c r="AP33" s="2" t="s">
        <v>1050</v>
      </c>
      <c r="AR33" s="2" t="s">
        <v>1153</v>
      </c>
      <c r="AS33" s="2" t="s">
        <v>1118</v>
      </c>
    </row>
    <row r="34" spans="1:45" x14ac:dyDescent="0.3">
      <c r="A34" s="2" t="s">
        <v>32</v>
      </c>
      <c r="O34" s="2" t="s">
        <v>182</v>
      </c>
      <c r="Q34" s="2" t="s">
        <v>226</v>
      </c>
      <c r="T34" s="2" t="s">
        <v>377</v>
      </c>
      <c r="U34" s="2" t="s">
        <v>420</v>
      </c>
      <c r="Y34" s="2" t="s">
        <v>591</v>
      </c>
      <c r="AC34" s="2" t="s">
        <v>714</v>
      </c>
      <c r="AF34" s="2" t="s">
        <v>833</v>
      </c>
      <c r="AJ34" s="2" t="s">
        <v>931</v>
      </c>
      <c r="AK34" s="2" t="s">
        <v>986</v>
      </c>
      <c r="AP34" s="2" t="s">
        <v>1051</v>
      </c>
      <c r="AR34" s="2" t="s">
        <v>1154</v>
      </c>
      <c r="AS34" s="2" t="s">
        <v>1192</v>
      </c>
    </row>
    <row r="35" spans="1:45" x14ac:dyDescent="0.3">
      <c r="Q35" s="2" t="s">
        <v>227</v>
      </c>
      <c r="T35" s="2" t="s">
        <v>378</v>
      </c>
      <c r="U35" s="2" t="s">
        <v>421</v>
      </c>
      <c r="Y35" s="2" t="s">
        <v>592</v>
      </c>
      <c r="AC35" s="2" t="s">
        <v>715</v>
      </c>
      <c r="AF35" s="2" t="s">
        <v>834</v>
      </c>
      <c r="AJ35" s="2" t="s">
        <v>261</v>
      </c>
      <c r="AK35" s="2" t="s">
        <v>987</v>
      </c>
      <c r="AP35" s="2" t="s">
        <v>1052</v>
      </c>
      <c r="AR35" s="2" t="s">
        <v>1155</v>
      </c>
      <c r="AS35" s="2" t="s">
        <v>1193</v>
      </c>
    </row>
    <row r="36" spans="1:45" x14ac:dyDescent="0.3">
      <c r="Q36" s="2" t="s">
        <v>228</v>
      </c>
      <c r="T36" s="2" t="s">
        <v>379</v>
      </c>
      <c r="U36" s="2" t="s">
        <v>422</v>
      </c>
      <c r="Y36" s="2" t="s">
        <v>593</v>
      </c>
      <c r="AC36" s="2" t="s">
        <v>716</v>
      </c>
      <c r="AF36" s="2" t="s">
        <v>835</v>
      </c>
      <c r="AJ36" s="2" t="s">
        <v>932</v>
      </c>
      <c r="AK36" s="2" t="s">
        <v>988</v>
      </c>
      <c r="AP36" s="2" t="s">
        <v>1053</v>
      </c>
      <c r="AR36" s="2" t="s">
        <v>1156</v>
      </c>
      <c r="AS36" s="2" t="s">
        <v>1194</v>
      </c>
    </row>
    <row r="37" spans="1:45" x14ac:dyDescent="0.3">
      <c r="Q37" s="2" t="s">
        <v>229</v>
      </c>
      <c r="T37" s="2" t="s">
        <v>380</v>
      </c>
      <c r="U37" s="2" t="s">
        <v>423</v>
      </c>
      <c r="Y37" s="2" t="s">
        <v>594</v>
      </c>
      <c r="AC37" s="2" t="s">
        <v>717</v>
      </c>
      <c r="AF37" s="2" t="s">
        <v>836</v>
      </c>
      <c r="AJ37" s="2" t="s">
        <v>933</v>
      </c>
      <c r="AK37" s="2" t="s">
        <v>989</v>
      </c>
      <c r="AP37" s="2" t="s">
        <v>1054</v>
      </c>
      <c r="AR37" s="2" t="s">
        <v>1157</v>
      </c>
      <c r="AS37" s="2" t="s">
        <v>1195</v>
      </c>
    </row>
    <row r="38" spans="1:45" x14ac:dyDescent="0.3">
      <c r="Q38" s="2" t="s">
        <v>230</v>
      </c>
      <c r="T38" s="2" t="s">
        <v>381</v>
      </c>
      <c r="U38" s="2" t="s">
        <v>424</v>
      </c>
      <c r="Y38" s="2" t="s">
        <v>28</v>
      </c>
      <c r="AC38" s="2" t="s">
        <v>718</v>
      </c>
      <c r="AF38" s="2" t="s">
        <v>837</v>
      </c>
      <c r="AJ38" s="2" t="s">
        <v>934</v>
      </c>
      <c r="AK38" s="2" t="s">
        <v>990</v>
      </c>
      <c r="AP38" s="2" t="s">
        <v>1055</v>
      </c>
      <c r="AR38" s="2" t="s">
        <v>1158</v>
      </c>
      <c r="AS38" s="2" t="s">
        <v>1196</v>
      </c>
    </row>
    <row r="39" spans="1:45" x14ac:dyDescent="0.3">
      <c r="Q39" s="2" t="s">
        <v>231</v>
      </c>
      <c r="T39" s="2" t="s">
        <v>382</v>
      </c>
      <c r="U39" s="2" t="s">
        <v>425</v>
      </c>
      <c r="Y39" s="2" t="s">
        <v>595</v>
      </c>
      <c r="AC39" s="2" t="s">
        <v>248</v>
      </c>
      <c r="AJ39" s="2" t="s">
        <v>935</v>
      </c>
      <c r="AK39" s="2" t="s">
        <v>304</v>
      </c>
      <c r="AP39" s="2" t="s">
        <v>249</v>
      </c>
      <c r="AR39" s="2" t="s">
        <v>1159</v>
      </c>
      <c r="AS39" s="2" t="s">
        <v>1197</v>
      </c>
    </row>
    <row r="40" spans="1:45" x14ac:dyDescent="0.3">
      <c r="Q40" s="2" t="s">
        <v>232</v>
      </c>
      <c r="T40" s="2" t="s">
        <v>383</v>
      </c>
      <c r="U40" s="2" t="s">
        <v>426</v>
      </c>
      <c r="Y40" s="2" t="s">
        <v>596</v>
      </c>
      <c r="AC40" s="2" t="s">
        <v>719</v>
      </c>
      <c r="AJ40" s="2" t="s">
        <v>936</v>
      </c>
      <c r="AK40" s="2" t="s">
        <v>991</v>
      </c>
      <c r="AP40" s="2" t="s">
        <v>1056</v>
      </c>
      <c r="AR40" s="2" t="s">
        <v>1160</v>
      </c>
      <c r="AS40" s="2" t="s">
        <v>1198</v>
      </c>
    </row>
    <row r="41" spans="1:45" x14ac:dyDescent="0.3">
      <c r="Q41" s="2" t="s">
        <v>233</v>
      </c>
      <c r="T41" s="2" t="s">
        <v>384</v>
      </c>
      <c r="U41" s="2" t="s">
        <v>427</v>
      </c>
      <c r="Y41" s="2" t="s">
        <v>597</v>
      </c>
      <c r="AC41" s="2" t="s">
        <v>720</v>
      </c>
      <c r="AJ41" s="2" t="s">
        <v>738</v>
      </c>
      <c r="AK41" s="2" t="s">
        <v>992</v>
      </c>
      <c r="AP41" s="2" t="s">
        <v>1057</v>
      </c>
      <c r="AR41" s="2" t="s">
        <v>1161</v>
      </c>
      <c r="AS41" s="2" t="s">
        <v>1199</v>
      </c>
    </row>
    <row r="42" spans="1:45" x14ac:dyDescent="0.3">
      <c r="Q42" s="2" t="s">
        <v>234</v>
      </c>
      <c r="T42" s="2" t="s">
        <v>385</v>
      </c>
      <c r="U42" s="2" t="s">
        <v>428</v>
      </c>
      <c r="Y42" s="2" t="s">
        <v>598</v>
      </c>
      <c r="AC42" s="2" t="s">
        <v>721</v>
      </c>
      <c r="AJ42" s="2" t="s">
        <v>21</v>
      </c>
      <c r="AP42" s="2" t="s">
        <v>1058</v>
      </c>
      <c r="AR42" s="2" t="s">
        <v>287</v>
      </c>
      <c r="AS42" s="2" t="s">
        <v>1200</v>
      </c>
    </row>
    <row r="43" spans="1:45" x14ac:dyDescent="0.3">
      <c r="Q43" s="2" t="s">
        <v>235</v>
      </c>
      <c r="T43" s="2" t="s">
        <v>386</v>
      </c>
      <c r="U43" s="2" t="s">
        <v>429</v>
      </c>
      <c r="Y43" s="2" t="s">
        <v>599</v>
      </c>
      <c r="AC43" s="2" t="s">
        <v>722</v>
      </c>
      <c r="AJ43" s="2" t="s">
        <v>937</v>
      </c>
      <c r="AP43" s="2" t="s">
        <v>1059</v>
      </c>
      <c r="AR43" s="2" t="s">
        <v>1162</v>
      </c>
      <c r="AS43" s="2" t="s">
        <v>1201</v>
      </c>
    </row>
    <row r="44" spans="1:45" x14ac:dyDescent="0.3">
      <c r="Q44" s="2" t="s">
        <v>236</v>
      </c>
      <c r="T44" s="2" t="s">
        <v>387</v>
      </c>
      <c r="U44" s="2" t="s">
        <v>430</v>
      </c>
      <c r="AC44" s="2" t="s">
        <v>723</v>
      </c>
      <c r="AJ44" s="2" t="s">
        <v>938</v>
      </c>
      <c r="AP44" s="2" t="s">
        <v>1060</v>
      </c>
      <c r="AR44" s="2" t="s">
        <v>594</v>
      </c>
    </row>
    <row r="45" spans="1:45" x14ac:dyDescent="0.3">
      <c r="Q45" s="2" t="s">
        <v>237</v>
      </c>
      <c r="T45" s="2" t="s">
        <v>388</v>
      </c>
      <c r="U45" s="2" t="s">
        <v>431</v>
      </c>
      <c r="AC45" s="2" t="s">
        <v>724</v>
      </c>
      <c r="AJ45" s="2" t="s">
        <v>939</v>
      </c>
      <c r="AP45" s="2" t="s">
        <v>1061</v>
      </c>
      <c r="AR45" s="2" t="s">
        <v>1163</v>
      </c>
    </row>
    <row r="46" spans="1:45" x14ac:dyDescent="0.3">
      <c r="Q46" s="2" t="s">
        <v>238</v>
      </c>
      <c r="T46" s="2" t="s">
        <v>389</v>
      </c>
      <c r="U46" s="2" t="s">
        <v>432</v>
      </c>
      <c r="AC46" s="2" t="s">
        <v>725</v>
      </c>
      <c r="AJ46" s="2" t="s">
        <v>940</v>
      </c>
      <c r="AP46" s="2" t="s">
        <v>1062</v>
      </c>
      <c r="AR46" s="2" t="s">
        <v>1164</v>
      </c>
    </row>
    <row r="47" spans="1:45" x14ac:dyDescent="0.3">
      <c r="Q47" s="2" t="s">
        <v>239</v>
      </c>
      <c r="T47" s="2" t="s">
        <v>390</v>
      </c>
      <c r="U47" s="2" t="s">
        <v>257</v>
      </c>
      <c r="AC47" s="2" t="s">
        <v>726</v>
      </c>
      <c r="AJ47" s="2" t="s">
        <v>941</v>
      </c>
      <c r="AP47" s="2" t="s">
        <v>615</v>
      </c>
      <c r="AR47" s="2" t="s">
        <v>1165</v>
      </c>
    </row>
    <row r="48" spans="1:45" x14ac:dyDescent="0.3">
      <c r="Q48" s="2" t="s">
        <v>240</v>
      </c>
      <c r="U48" s="2" t="s">
        <v>433</v>
      </c>
      <c r="AC48" s="2" t="s">
        <v>727</v>
      </c>
      <c r="AJ48" s="2" t="s">
        <v>942</v>
      </c>
      <c r="AP48" s="2" t="s">
        <v>1063</v>
      </c>
      <c r="AR48" s="2" t="s">
        <v>1166</v>
      </c>
    </row>
    <row r="49" spans="17:42" x14ac:dyDescent="0.3">
      <c r="Q49" s="2" t="s">
        <v>241</v>
      </c>
      <c r="U49" s="2" t="s">
        <v>434</v>
      </c>
      <c r="AC49" s="2" t="s">
        <v>728</v>
      </c>
      <c r="AJ49" s="2" t="s">
        <v>943</v>
      </c>
      <c r="AP49" s="2" t="s">
        <v>1064</v>
      </c>
    </row>
    <row r="50" spans="17:42" x14ac:dyDescent="0.3">
      <c r="Q50" s="2" t="s">
        <v>242</v>
      </c>
      <c r="U50" s="2" t="s">
        <v>189</v>
      </c>
      <c r="AC50" s="2" t="s">
        <v>729</v>
      </c>
      <c r="AJ50" s="2" t="s">
        <v>753</v>
      </c>
      <c r="AP50" s="2" t="s">
        <v>1065</v>
      </c>
    </row>
    <row r="51" spans="17:42" x14ac:dyDescent="0.3">
      <c r="Q51" s="2" t="s">
        <v>243</v>
      </c>
      <c r="U51" s="2" t="s">
        <v>435</v>
      </c>
      <c r="AC51" s="2" t="s">
        <v>730</v>
      </c>
      <c r="AJ51" s="2" t="s">
        <v>944</v>
      </c>
      <c r="AP51" s="2" t="s">
        <v>1066</v>
      </c>
    </row>
    <row r="52" spans="17:42" x14ac:dyDescent="0.3">
      <c r="Q52" s="2" t="s">
        <v>244</v>
      </c>
      <c r="U52" s="2" t="s">
        <v>436</v>
      </c>
      <c r="AC52" s="2" t="s">
        <v>731</v>
      </c>
      <c r="AJ52" s="2" t="s">
        <v>945</v>
      </c>
      <c r="AP52" s="2" t="s">
        <v>1067</v>
      </c>
    </row>
    <row r="53" spans="17:42" x14ac:dyDescent="0.3">
      <c r="Q53" s="2" t="s">
        <v>245</v>
      </c>
      <c r="U53" s="2" t="s">
        <v>437</v>
      </c>
      <c r="AC53" s="2" t="s">
        <v>732</v>
      </c>
      <c r="AJ53" s="2" t="s">
        <v>946</v>
      </c>
      <c r="AP53" s="2" t="s">
        <v>1068</v>
      </c>
    </row>
    <row r="54" spans="17:42" x14ac:dyDescent="0.3">
      <c r="Q54" s="2" t="s">
        <v>246</v>
      </c>
      <c r="U54" s="2" t="s">
        <v>438</v>
      </c>
      <c r="AC54" s="2" t="s">
        <v>579</v>
      </c>
      <c r="AJ54" s="2" t="s">
        <v>755</v>
      </c>
      <c r="AP54" s="2" t="s">
        <v>1069</v>
      </c>
    </row>
    <row r="55" spans="17:42" x14ac:dyDescent="0.3">
      <c r="Q55" s="2" t="s">
        <v>247</v>
      </c>
      <c r="U55" s="2" t="s">
        <v>439</v>
      </c>
      <c r="AC55" s="2" t="s">
        <v>733</v>
      </c>
      <c r="AJ55" s="2" t="s">
        <v>947</v>
      </c>
      <c r="AP55" s="2" t="s">
        <v>1070</v>
      </c>
    </row>
    <row r="56" spans="17:42" x14ac:dyDescent="0.3">
      <c r="Q56" s="2" t="s">
        <v>248</v>
      </c>
      <c r="U56" s="2" t="s">
        <v>440</v>
      </c>
      <c r="AC56" s="2" t="s">
        <v>734</v>
      </c>
      <c r="AJ56" s="2" t="s">
        <v>379</v>
      </c>
      <c r="AP56" s="2" t="s">
        <v>1071</v>
      </c>
    </row>
    <row r="57" spans="17:42" x14ac:dyDescent="0.3">
      <c r="Q57" s="2" t="s">
        <v>249</v>
      </c>
      <c r="U57" s="2" t="s">
        <v>441</v>
      </c>
      <c r="AC57" s="2" t="s">
        <v>735</v>
      </c>
      <c r="AJ57" s="2" t="s">
        <v>948</v>
      </c>
      <c r="AP57" s="2" t="s">
        <v>1072</v>
      </c>
    </row>
    <row r="58" spans="17:42" x14ac:dyDescent="0.3">
      <c r="Q58" s="2" t="s">
        <v>250</v>
      </c>
      <c r="U58" s="2" t="s">
        <v>442</v>
      </c>
      <c r="AC58" s="2" t="s">
        <v>736</v>
      </c>
      <c r="AJ58" s="2" t="s">
        <v>949</v>
      </c>
      <c r="AP58" s="2" t="s">
        <v>1073</v>
      </c>
    </row>
    <row r="59" spans="17:42" x14ac:dyDescent="0.3">
      <c r="Q59" s="2" t="s">
        <v>251</v>
      </c>
      <c r="U59" s="2" t="s">
        <v>443</v>
      </c>
      <c r="AC59" s="2" t="s">
        <v>737</v>
      </c>
      <c r="AJ59" s="2" t="s">
        <v>293</v>
      </c>
      <c r="AP59" s="2" t="s">
        <v>1074</v>
      </c>
    </row>
    <row r="60" spans="17:42" x14ac:dyDescent="0.3">
      <c r="Q60" s="2" t="s">
        <v>252</v>
      </c>
      <c r="U60" s="2" t="s">
        <v>444</v>
      </c>
      <c r="AC60" s="2" t="s">
        <v>738</v>
      </c>
      <c r="AJ60" s="2" t="s">
        <v>950</v>
      </c>
      <c r="AP60" s="2" t="s">
        <v>1075</v>
      </c>
    </row>
    <row r="61" spans="17:42" x14ac:dyDescent="0.3">
      <c r="Q61" s="2" t="s">
        <v>253</v>
      </c>
      <c r="U61" s="2" t="s">
        <v>445</v>
      </c>
      <c r="AC61" s="2" t="s">
        <v>21</v>
      </c>
      <c r="AJ61" s="2" t="s">
        <v>951</v>
      </c>
      <c r="AP61" s="2" t="s">
        <v>1076</v>
      </c>
    </row>
    <row r="62" spans="17:42" x14ac:dyDescent="0.3">
      <c r="Q62" s="2" t="s">
        <v>254</v>
      </c>
      <c r="U62" s="2" t="s">
        <v>446</v>
      </c>
      <c r="AC62" s="2" t="s">
        <v>739</v>
      </c>
      <c r="AJ62" s="2" t="s">
        <v>952</v>
      </c>
      <c r="AP62" s="2" t="s">
        <v>1077</v>
      </c>
    </row>
    <row r="63" spans="17:42" x14ac:dyDescent="0.3">
      <c r="Q63" s="2" t="s">
        <v>255</v>
      </c>
      <c r="U63" s="2" t="s">
        <v>447</v>
      </c>
      <c r="AC63" s="2" t="s">
        <v>740</v>
      </c>
      <c r="AJ63" s="2" t="s">
        <v>953</v>
      </c>
      <c r="AP63" s="2" t="s">
        <v>1078</v>
      </c>
    </row>
    <row r="64" spans="17:42" x14ac:dyDescent="0.3">
      <c r="Q64" s="2" t="s">
        <v>256</v>
      </c>
      <c r="U64" s="2" t="s">
        <v>448</v>
      </c>
      <c r="AC64" s="2" t="s">
        <v>741</v>
      </c>
      <c r="AJ64" s="2" t="s">
        <v>954</v>
      </c>
      <c r="AP64" s="2" t="s">
        <v>1079</v>
      </c>
    </row>
    <row r="65" spans="17:42" x14ac:dyDescent="0.3">
      <c r="Q65" s="2" t="s">
        <v>257</v>
      </c>
      <c r="U65" s="2" t="s">
        <v>449</v>
      </c>
      <c r="AC65" s="2" t="s">
        <v>742</v>
      </c>
      <c r="AJ65" s="2" t="s">
        <v>955</v>
      </c>
      <c r="AP65" s="2" t="s">
        <v>1080</v>
      </c>
    </row>
    <row r="66" spans="17:42" x14ac:dyDescent="0.3">
      <c r="Q66" s="2" t="s">
        <v>258</v>
      </c>
      <c r="U66" s="2" t="s">
        <v>450</v>
      </c>
      <c r="AC66" s="2" t="s">
        <v>743</v>
      </c>
      <c r="AP66" s="2" t="s">
        <v>1081</v>
      </c>
    </row>
    <row r="67" spans="17:42" x14ac:dyDescent="0.3">
      <c r="Q67" s="2" t="s">
        <v>259</v>
      </c>
      <c r="U67" s="2" t="s">
        <v>451</v>
      </c>
      <c r="AC67" s="2" t="s">
        <v>744</v>
      </c>
      <c r="AP67" s="2" t="s">
        <v>277</v>
      </c>
    </row>
    <row r="68" spans="17:42" x14ac:dyDescent="0.3">
      <c r="Q68" s="2" t="s">
        <v>260</v>
      </c>
      <c r="U68" s="2" t="s">
        <v>452</v>
      </c>
      <c r="AC68" s="2" t="s">
        <v>745</v>
      </c>
      <c r="AP68" s="2" t="s">
        <v>1082</v>
      </c>
    </row>
    <row r="69" spans="17:42" x14ac:dyDescent="0.3">
      <c r="Q69" s="2" t="s">
        <v>261</v>
      </c>
      <c r="U69" s="2" t="s">
        <v>453</v>
      </c>
      <c r="AC69" s="2" t="s">
        <v>746</v>
      </c>
      <c r="AP69" s="2" t="s">
        <v>1025</v>
      </c>
    </row>
    <row r="70" spans="17:42" x14ac:dyDescent="0.3">
      <c r="Q70" s="2" t="s">
        <v>262</v>
      </c>
      <c r="U70" s="2" t="s">
        <v>454</v>
      </c>
      <c r="AC70" s="2" t="s">
        <v>747</v>
      </c>
      <c r="AP70" s="2" t="s">
        <v>1083</v>
      </c>
    </row>
    <row r="71" spans="17:42" x14ac:dyDescent="0.3">
      <c r="Q71" s="2" t="s">
        <v>263</v>
      </c>
      <c r="U71" s="2" t="s">
        <v>455</v>
      </c>
      <c r="AC71" s="2" t="s">
        <v>748</v>
      </c>
      <c r="AP71" s="2" t="s">
        <v>1084</v>
      </c>
    </row>
    <row r="72" spans="17:42" x14ac:dyDescent="0.3">
      <c r="Q72" s="2" t="s">
        <v>264</v>
      </c>
      <c r="U72" s="2" t="s">
        <v>456</v>
      </c>
      <c r="AC72" s="2" t="s">
        <v>749</v>
      </c>
      <c r="AP72" s="2" t="s">
        <v>1085</v>
      </c>
    </row>
    <row r="73" spans="17:42" x14ac:dyDescent="0.3">
      <c r="Q73" s="2" t="s">
        <v>265</v>
      </c>
      <c r="U73" s="2" t="s">
        <v>457</v>
      </c>
      <c r="AC73" s="2" t="s">
        <v>750</v>
      </c>
      <c r="AP73" s="2" t="s">
        <v>1086</v>
      </c>
    </row>
    <row r="74" spans="17:42" x14ac:dyDescent="0.3">
      <c r="Q74" s="2" t="s">
        <v>266</v>
      </c>
      <c r="U74" s="2" t="s">
        <v>458</v>
      </c>
      <c r="AC74" s="2" t="s">
        <v>751</v>
      </c>
      <c r="AP74" s="2" t="s">
        <v>999</v>
      </c>
    </row>
    <row r="75" spans="17:42" x14ac:dyDescent="0.3">
      <c r="Q75" s="2" t="s">
        <v>267</v>
      </c>
      <c r="U75" s="2" t="s">
        <v>459</v>
      </c>
      <c r="AC75" s="2" t="s">
        <v>752</v>
      </c>
      <c r="AP75" s="2" t="s">
        <v>1087</v>
      </c>
    </row>
    <row r="76" spans="17:42" x14ac:dyDescent="0.3">
      <c r="Q76" s="2" t="s">
        <v>21</v>
      </c>
      <c r="U76" s="2" t="s">
        <v>460</v>
      </c>
      <c r="AC76" s="2" t="s">
        <v>753</v>
      </c>
      <c r="AP76" s="2" t="s">
        <v>293</v>
      </c>
    </row>
    <row r="77" spans="17:42" x14ac:dyDescent="0.3">
      <c r="Q77" s="2" t="s">
        <v>268</v>
      </c>
      <c r="U77" s="2" t="s">
        <v>461</v>
      </c>
      <c r="AC77" s="2" t="s">
        <v>754</v>
      </c>
      <c r="AP77" s="2" t="s">
        <v>1088</v>
      </c>
    </row>
    <row r="78" spans="17:42" x14ac:dyDescent="0.3">
      <c r="Q78" s="2" t="s">
        <v>269</v>
      </c>
      <c r="U78" s="2" t="s">
        <v>462</v>
      </c>
      <c r="AC78" s="2" t="s">
        <v>755</v>
      </c>
      <c r="AP78" s="2" t="s">
        <v>1089</v>
      </c>
    </row>
    <row r="79" spans="17:42" x14ac:dyDescent="0.3">
      <c r="Q79" s="2" t="s">
        <v>270</v>
      </c>
      <c r="U79" s="2" t="s">
        <v>463</v>
      </c>
      <c r="AC79" s="2" t="s">
        <v>756</v>
      </c>
      <c r="AP79" s="2" t="s">
        <v>1090</v>
      </c>
    </row>
    <row r="80" spans="17:42" x14ac:dyDescent="0.3">
      <c r="Q80" s="2" t="s">
        <v>271</v>
      </c>
      <c r="U80" s="2" t="s">
        <v>464</v>
      </c>
      <c r="AC80" s="2" t="s">
        <v>283</v>
      </c>
      <c r="AP80" s="2" t="s">
        <v>1091</v>
      </c>
    </row>
    <row r="81" spans="17:42" x14ac:dyDescent="0.3">
      <c r="Q81" s="2" t="s">
        <v>272</v>
      </c>
      <c r="U81" s="2" t="s">
        <v>465</v>
      </c>
      <c r="AC81" s="2" t="s">
        <v>757</v>
      </c>
      <c r="AP81" s="2" t="s">
        <v>28</v>
      </c>
    </row>
    <row r="82" spans="17:42" x14ac:dyDescent="0.3">
      <c r="Q82" s="2" t="s">
        <v>273</v>
      </c>
      <c r="U82" s="2" t="s">
        <v>466</v>
      </c>
      <c r="AC82" s="2" t="s">
        <v>758</v>
      </c>
      <c r="AP82" s="2" t="s">
        <v>1092</v>
      </c>
    </row>
    <row r="83" spans="17:42" x14ac:dyDescent="0.3">
      <c r="Q83" s="2" t="s">
        <v>274</v>
      </c>
      <c r="U83" s="2" t="s">
        <v>467</v>
      </c>
      <c r="AC83" s="2" t="s">
        <v>759</v>
      </c>
      <c r="AP83" s="2" t="s">
        <v>1093</v>
      </c>
    </row>
    <row r="84" spans="17:42" x14ac:dyDescent="0.3">
      <c r="Q84" s="2" t="s">
        <v>275</v>
      </c>
      <c r="U84" s="2" t="s">
        <v>468</v>
      </c>
      <c r="AC84" s="2" t="s">
        <v>760</v>
      </c>
      <c r="AP84" s="2" t="s">
        <v>1094</v>
      </c>
    </row>
    <row r="85" spans="17:42" x14ac:dyDescent="0.3">
      <c r="Q85" s="2" t="s">
        <v>276</v>
      </c>
      <c r="U85" s="2" t="s">
        <v>469</v>
      </c>
      <c r="AC85" s="2" t="s">
        <v>761</v>
      </c>
      <c r="AP85" s="2" t="s">
        <v>1095</v>
      </c>
    </row>
    <row r="86" spans="17:42" x14ac:dyDescent="0.3">
      <c r="Q86" s="2" t="s">
        <v>277</v>
      </c>
      <c r="U86" s="2" t="s">
        <v>470</v>
      </c>
      <c r="AC86" s="2" t="s">
        <v>762</v>
      </c>
      <c r="AP86" s="2" t="s">
        <v>1096</v>
      </c>
    </row>
    <row r="87" spans="17:42" x14ac:dyDescent="0.3">
      <c r="Q87" s="2" t="s">
        <v>278</v>
      </c>
      <c r="U87" s="2" t="s">
        <v>471</v>
      </c>
      <c r="AC87" s="2" t="s">
        <v>763</v>
      </c>
      <c r="AP87" s="2" t="s">
        <v>389</v>
      </c>
    </row>
    <row r="88" spans="17:42" x14ac:dyDescent="0.3">
      <c r="Q88" s="2" t="s">
        <v>279</v>
      </c>
      <c r="U88" s="2" t="s">
        <v>472</v>
      </c>
      <c r="AC88" s="2" t="s">
        <v>764</v>
      </c>
      <c r="AP88" s="2" t="s">
        <v>1097</v>
      </c>
    </row>
    <row r="89" spans="17:42" x14ac:dyDescent="0.3">
      <c r="Q89" s="2" t="s">
        <v>280</v>
      </c>
      <c r="U89" s="2" t="s">
        <v>473</v>
      </c>
      <c r="AC89" s="2" t="s">
        <v>765</v>
      </c>
    </row>
    <row r="90" spans="17:42" x14ac:dyDescent="0.3">
      <c r="Q90" s="2" t="s">
        <v>281</v>
      </c>
      <c r="U90" s="2" t="s">
        <v>474</v>
      </c>
      <c r="AC90" s="2" t="s">
        <v>766</v>
      </c>
    </row>
    <row r="91" spans="17:42" x14ac:dyDescent="0.3">
      <c r="Q91" s="2" t="s">
        <v>282</v>
      </c>
      <c r="U91" s="2" t="s">
        <v>475</v>
      </c>
      <c r="AC91" s="2" t="s">
        <v>767</v>
      </c>
    </row>
    <row r="92" spans="17:42" x14ac:dyDescent="0.3">
      <c r="Q92" s="2" t="s">
        <v>283</v>
      </c>
      <c r="U92" s="2" t="s">
        <v>476</v>
      </c>
      <c r="AC92" s="2" t="s">
        <v>768</v>
      </c>
    </row>
    <row r="93" spans="17:42" x14ac:dyDescent="0.3">
      <c r="Q93" s="2" t="s">
        <v>284</v>
      </c>
      <c r="U93" s="2" t="s">
        <v>477</v>
      </c>
      <c r="AC93" s="2" t="s">
        <v>769</v>
      </c>
    </row>
    <row r="94" spans="17:42" x14ac:dyDescent="0.3">
      <c r="Q94" s="2" t="s">
        <v>285</v>
      </c>
      <c r="U94" s="2" t="s">
        <v>478</v>
      </c>
      <c r="AC94" s="2" t="s">
        <v>770</v>
      </c>
    </row>
    <row r="95" spans="17:42" x14ac:dyDescent="0.3">
      <c r="Q95" s="2" t="s">
        <v>286</v>
      </c>
      <c r="U95" s="2" t="s">
        <v>479</v>
      </c>
      <c r="AC95" s="2" t="s">
        <v>771</v>
      </c>
    </row>
    <row r="96" spans="17:42" x14ac:dyDescent="0.3">
      <c r="Q96" s="2" t="s">
        <v>287</v>
      </c>
      <c r="U96" s="2" t="s">
        <v>480</v>
      </c>
      <c r="AC96" s="2" t="s">
        <v>772</v>
      </c>
    </row>
    <row r="97" spans="17:29" x14ac:dyDescent="0.3">
      <c r="Q97" s="2" t="s">
        <v>288</v>
      </c>
      <c r="U97" s="2" t="s">
        <v>481</v>
      </c>
      <c r="AC97" s="2" t="s">
        <v>773</v>
      </c>
    </row>
    <row r="98" spans="17:29" x14ac:dyDescent="0.3">
      <c r="Q98" s="2" t="s">
        <v>289</v>
      </c>
      <c r="U98" s="2" t="s">
        <v>482</v>
      </c>
      <c r="AC98" s="2" t="s">
        <v>774</v>
      </c>
    </row>
    <row r="99" spans="17:29" x14ac:dyDescent="0.3">
      <c r="Q99" s="2" t="s">
        <v>290</v>
      </c>
      <c r="U99" s="2" t="s">
        <v>483</v>
      </c>
      <c r="AC99" s="2" t="s">
        <v>775</v>
      </c>
    </row>
    <row r="100" spans="17:29" x14ac:dyDescent="0.3">
      <c r="Q100" s="2" t="s">
        <v>291</v>
      </c>
      <c r="U100" s="2" t="s">
        <v>484</v>
      </c>
      <c r="AC100" s="2" t="s">
        <v>776</v>
      </c>
    </row>
    <row r="101" spans="17:29" x14ac:dyDescent="0.3">
      <c r="Q101" s="2" t="s">
        <v>292</v>
      </c>
      <c r="U101" s="2" t="s">
        <v>485</v>
      </c>
      <c r="AC101" s="2" t="s">
        <v>777</v>
      </c>
    </row>
    <row r="102" spans="17:29" x14ac:dyDescent="0.3">
      <c r="Q102" s="2" t="s">
        <v>293</v>
      </c>
      <c r="U102" s="2" t="s">
        <v>486</v>
      </c>
      <c r="AC102" s="2" t="s">
        <v>778</v>
      </c>
    </row>
    <row r="103" spans="17:29" x14ac:dyDescent="0.3">
      <c r="Q103" s="2" t="s">
        <v>294</v>
      </c>
      <c r="U103" s="2" t="s">
        <v>487</v>
      </c>
      <c r="AC103" s="2" t="s">
        <v>779</v>
      </c>
    </row>
    <row r="104" spans="17:29" x14ac:dyDescent="0.3">
      <c r="Q104" s="2" t="s">
        <v>295</v>
      </c>
      <c r="U104" s="2" t="s">
        <v>488</v>
      </c>
      <c r="AC104" s="2" t="s">
        <v>780</v>
      </c>
    </row>
    <row r="105" spans="17:29" x14ac:dyDescent="0.3">
      <c r="Q105" s="2" t="s">
        <v>296</v>
      </c>
      <c r="U105" s="2" t="s">
        <v>489</v>
      </c>
      <c r="AC105" s="2" t="s">
        <v>781</v>
      </c>
    </row>
    <row r="106" spans="17:29" x14ac:dyDescent="0.3">
      <c r="Q106" s="2" t="s">
        <v>297</v>
      </c>
      <c r="U106" s="2" t="s">
        <v>490</v>
      </c>
      <c r="AC106" s="2" t="s">
        <v>782</v>
      </c>
    </row>
    <row r="107" spans="17:29" x14ac:dyDescent="0.3">
      <c r="Q107" s="2" t="s">
        <v>298</v>
      </c>
      <c r="U107" s="2" t="s">
        <v>491</v>
      </c>
      <c r="AC107" s="2" t="s">
        <v>783</v>
      </c>
    </row>
    <row r="108" spans="17:29" x14ac:dyDescent="0.3">
      <c r="Q108" s="2" t="s">
        <v>299</v>
      </c>
      <c r="U108" s="2" t="s">
        <v>492</v>
      </c>
      <c r="AC108" s="2" t="s">
        <v>311</v>
      </c>
    </row>
    <row r="109" spans="17:29" x14ac:dyDescent="0.3">
      <c r="Q109" s="2" t="s">
        <v>300</v>
      </c>
      <c r="U109" s="2" t="s">
        <v>493</v>
      </c>
      <c r="AC109" s="2" t="s">
        <v>784</v>
      </c>
    </row>
    <row r="110" spans="17:29" x14ac:dyDescent="0.3">
      <c r="Q110" s="2" t="s">
        <v>301</v>
      </c>
      <c r="U110" s="2" t="s">
        <v>494</v>
      </c>
      <c r="AC110" s="2" t="s">
        <v>785</v>
      </c>
    </row>
    <row r="111" spans="17:29" x14ac:dyDescent="0.3">
      <c r="Q111" s="2" t="s">
        <v>302</v>
      </c>
      <c r="U111" s="2" t="s">
        <v>495</v>
      </c>
      <c r="AC111" s="2" t="s">
        <v>786</v>
      </c>
    </row>
    <row r="112" spans="17:29" x14ac:dyDescent="0.3">
      <c r="Q112" s="2" t="s">
        <v>303</v>
      </c>
      <c r="U112" s="2" t="s">
        <v>496</v>
      </c>
      <c r="AC112" s="2" t="s">
        <v>787</v>
      </c>
    </row>
    <row r="113" spans="17:29" x14ac:dyDescent="0.3">
      <c r="Q113" s="2" t="s">
        <v>304</v>
      </c>
      <c r="U113" s="2" t="s">
        <v>497</v>
      </c>
      <c r="AC113" s="2" t="s">
        <v>788</v>
      </c>
    </row>
    <row r="114" spans="17:29" x14ac:dyDescent="0.3">
      <c r="Q114" s="2" t="s">
        <v>305</v>
      </c>
      <c r="U114" s="2" t="s">
        <v>498</v>
      </c>
      <c r="AC114" s="2" t="s">
        <v>789</v>
      </c>
    </row>
    <row r="115" spans="17:29" x14ac:dyDescent="0.3">
      <c r="Q115" s="2" t="s">
        <v>306</v>
      </c>
      <c r="U115" s="2" t="s">
        <v>499</v>
      </c>
      <c r="AC115" s="2" t="s">
        <v>790</v>
      </c>
    </row>
    <row r="116" spans="17:29" x14ac:dyDescent="0.3">
      <c r="Q116" s="2" t="s">
        <v>307</v>
      </c>
      <c r="U116" s="2" t="s">
        <v>500</v>
      </c>
      <c r="AC116" s="2" t="s">
        <v>791</v>
      </c>
    </row>
    <row r="117" spans="17:29" x14ac:dyDescent="0.3">
      <c r="Q117" s="2" t="s">
        <v>308</v>
      </c>
      <c r="U117" s="2" t="s">
        <v>501</v>
      </c>
      <c r="AC117" s="2" t="s">
        <v>792</v>
      </c>
    </row>
    <row r="118" spans="17:29" x14ac:dyDescent="0.3">
      <c r="Q118" s="2" t="s">
        <v>309</v>
      </c>
      <c r="U118" s="2" t="s">
        <v>502</v>
      </c>
      <c r="AC118" s="2" t="s">
        <v>793</v>
      </c>
    </row>
    <row r="119" spans="17:29" x14ac:dyDescent="0.3">
      <c r="Q119" s="2" t="s">
        <v>310</v>
      </c>
      <c r="U119" s="2" t="s">
        <v>503</v>
      </c>
    </row>
    <row r="120" spans="17:29" x14ac:dyDescent="0.3">
      <c r="Q120" s="2" t="s">
        <v>311</v>
      </c>
      <c r="U120" s="2" t="s">
        <v>504</v>
      </c>
    </row>
    <row r="121" spans="17:29" x14ac:dyDescent="0.3">
      <c r="Q121" s="2" t="s">
        <v>312</v>
      </c>
      <c r="U121" s="2" t="s">
        <v>505</v>
      </c>
    </row>
    <row r="122" spans="17:29" x14ac:dyDescent="0.3">
      <c r="Q122" s="2" t="s">
        <v>313</v>
      </c>
      <c r="U122" s="2" t="s">
        <v>506</v>
      </c>
    </row>
    <row r="123" spans="17:29" x14ac:dyDescent="0.3">
      <c r="Q123" s="2" t="s">
        <v>314</v>
      </c>
      <c r="U123" s="2" t="s">
        <v>507</v>
      </c>
    </row>
    <row r="124" spans="17:29" x14ac:dyDescent="0.3">
      <c r="Q124" s="2" t="s">
        <v>315</v>
      </c>
    </row>
    <row r="125" spans="17:29" x14ac:dyDescent="0.3">
      <c r="Q125" s="2" t="s">
        <v>316</v>
      </c>
    </row>
    <row r="126" spans="17:29" x14ac:dyDescent="0.3">
      <c r="Q126" s="2" t="s">
        <v>317</v>
      </c>
    </row>
  </sheetData>
  <sheetProtection algorithmName="SHA-512" hashValue="zh3LI/Pz5q5RZC3zZ+36T10/jGKnfPm9daYFlyV4vbnXpnGyISKwTYdSyF8yFFDYGGVDBphtk1TcrZkr/dEylw==" saltValue="VpLAh3F29i3Ax0a1SxTWvQ==" spinCount="100000" sheet="1" objects="1" scenarios="1"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454650031BB44CB799EE86CABBF36E" ma:contentTypeVersion="11" ma:contentTypeDescription="Create a new document." ma:contentTypeScope="" ma:versionID="a9062188f7dd892cfd83e49fbb97db7c">
  <xsd:schema xmlns:xsd="http://www.w3.org/2001/XMLSchema" xmlns:xs="http://www.w3.org/2001/XMLSchema" xmlns:p="http://schemas.microsoft.com/office/2006/metadata/properties" xmlns:ns2="ae8b5e98-059e-4d50-8eda-8b7bc6b7e106" xmlns:ns3="8d4523ed-8648-45c3-91f1-762e23bcb659" targetNamespace="http://schemas.microsoft.com/office/2006/metadata/properties" ma:root="true" ma:fieldsID="0efdf21f0b9997e9c660e10b5ff6d85e" ns2:_="" ns3:_="">
    <xsd:import namespace="ae8b5e98-059e-4d50-8eda-8b7bc6b7e106"/>
    <xsd:import namespace="8d4523ed-8648-45c3-91f1-762e23bcb65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8b5e98-059e-4d50-8eda-8b7bc6b7e10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hidden="true" ma:list="{1cffe94d-912e-4b7c-8c98-23b1267fb5f0}" ma:internalName="TaxCatchAll" ma:showField="CatchAllData" ma:web="ae8b5e98-059e-4d50-8eda-8b7bc6b7e1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4523ed-8648-45c3-91f1-762e23bcb6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20cec18f-64e3-475c-b7ef-ac8bd502240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e8b5e98-059e-4d50-8eda-8b7bc6b7e106" xsi:nil="true"/>
    <lcf76f155ced4ddcb4097134ff3c332f xmlns="8d4523ed-8648-45c3-91f1-762e23bcb659">
      <Terms xmlns="http://schemas.microsoft.com/office/infopath/2007/PartnerControls"/>
    </lcf76f155ced4ddcb4097134ff3c332f>
    <_dlc_DocId xmlns="ae8b5e98-059e-4d50-8eda-8b7bc6b7e106">PMRCPRF7T2E3-1097664159-38</_dlc_DocId>
    <_dlc_DocIdUrl xmlns="ae8b5e98-059e-4d50-8eda-8b7bc6b7e106">
      <Url>https://unesco.sharepoint.com/sites/ifcd/_layouts/15/DocIdRedir.aspx?ID=PMRCPRF7T2E3-1097664159-38</Url>
      <Description>PMRCPRF7T2E3-1097664159-38</Description>
    </_dlc_DocIdUrl>
  </documentManagement>
</p:properties>
</file>

<file path=customXml/itemProps1.xml><?xml version="1.0" encoding="utf-8"?>
<ds:datastoreItem xmlns:ds="http://schemas.openxmlformats.org/officeDocument/2006/customXml" ds:itemID="{D170C916-3ED6-499C-B8AD-3A78C231805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B7B150E2-C4AD-4103-B165-33630FBB34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8b5e98-059e-4d50-8eda-8b7bc6b7e106"/>
    <ds:schemaRef ds:uri="8d4523ed-8648-45c3-91f1-762e23bcb6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A9A1D6-2F63-44AE-A769-76DDAE8E5CD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A3D11FD-BC48-4CDA-B657-C015D63C163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9858EBF2-0B58-4D35-B140-5C26BB2A9B1A}">
  <ds:schemaRefs>
    <ds:schemaRef ds:uri="http://purl.org/dc/elements/1.1/"/>
    <ds:schemaRef ds:uri="http://purl.org/dc/dcmitype/"/>
    <ds:schemaRef ds:uri="ae8b5e98-059e-4d50-8eda-8b7bc6b7e106"/>
    <ds:schemaRef ds:uri="http://schemas.microsoft.com/office/2006/documentManagement/types"/>
    <ds:schemaRef ds:uri="8d4523ed-8648-45c3-91f1-762e23bcb659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8e024d6-51f2-471b-ac2c-b1117d65062e}" enabled="1" method="Standard" siteId="{1d4fae52-39b3-4bfa-b0b3-022956b1119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65</vt:i4>
      </vt:variant>
    </vt:vector>
  </HeadingPairs>
  <TitlesOfParts>
    <vt:vector size="72" baseType="lpstr">
      <vt:lpstr>Identificación</vt:lpstr>
      <vt:lpstr>Diagnóstico ecosistema</vt:lpstr>
      <vt:lpstr>Oportunidades de cambio</vt:lpstr>
      <vt:lpstr>Ejes PNMC</vt:lpstr>
      <vt:lpstr>Actores</vt:lpstr>
      <vt:lpstr>Indicadores</vt:lpstr>
      <vt:lpstr>Detalle Indicadores</vt:lpstr>
      <vt:lpstr>Acto_Comu</vt:lpstr>
      <vt:lpstr>Acto_Inst_Ext</vt:lpstr>
      <vt:lpstr>Acto_Inst_Int</vt:lpstr>
      <vt:lpstr>Acto_Sect</vt:lpstr>
      <vt:lpstr>Años</vt:lpstr>
      <vt:lpstr>Ciu_Amazonas</vt:lpstr>
      <vt:lpstr>Ciu_Antioquia</vt:lpstr>
      <vt:lpstr>Ciu_Arauca</vt:lpstr>
      <vt:lpstr>Ciu_Atlantico</vt:lpstr>
      <vt:lpstr>Ciu_Bogota_D_C</vt:lpstr>
      <vt:lpstr>Ciu_Bolivar</vt:lpstr>
      <vt:lpstr>Ciu_Boyaca</vt:lpstr>
      <vt:lpstr>Ciu_Caldas</vt:lpstr>
      <vt:lpstr>Ciu_Caqueta</vt:lpstr>
      <vt:lpstr>Ciu_Casanare</vt:lpstr>
      <vt:lpstr>Ciu_Cauca</vt:lpstr>
      <vt:lpstr>Ciu_Cesar</vt:lpstr>
      <vt:lpstr>Ciu_Choco</vt:lpstr>
      <vt:lpstr>Ciu_Cordoba</vt:lpstr>
      <vt:lpstr>Ciu_Cundinamarca</vt:lpstr>
      <vt:lpstr>Ciu_Guainia</vt:lpstr>
      <vt:lpstr>Ciu_Guaviare</vt:lpstr>
      <vt:lpstr>Ciu_Huila</vt:lpstr>
      <vt:lpstr>Ciu_La_Guajira</vt:lpstr>
      <vt:lpstr>Ciu_Magdalena</vt:lpstr>
      <vt:lpstr>Ciu_Meta</vt:lpstr>
      <vt:lpstr>Ciu_Narino</vt:lpstr>
      <vt:lpstr>Ciu_Norte_de_Santander</vt:lpstr>
      <vt:lpstr>Ciu_Putumayo</vt:lpstr>
      <vt:lpstr>Ciu_Quindio</vt:lpstr>
      <vt:lpstr>Ciu_Risaralda</vt:lpstr>
      <vt:lpstr>Ciu_San_Andres_y_Providencia</vt:lpstr>
      <vt:lpstr>Ciu_Santander</vt:lpstr>
      <vt:lpstr>Ciu_Sucre</vt:lpstr>
      <vt:lpstr>Ciu_Tolima</vt:lpstr>
      <vt:lpstr>Ciu_Valle_del_Cauca</vt:lpstr>
      <vt:lpstr>Ciu_Vaupes</vt:lpstr>
      <vt:lpstr>Ciu_Vichada</vt:lpstr>
      <vt:lpstr>Comp_Eje_1</vt:lpstr>
      <vt:lpstr>Comp_Eje_2</vt:lpstr>
      <vt:lpstr>Comp_Eje_3</vt:lpstr>
      <vt:lpstr>ComponentePNMC</vt:lpstr>
      <vt:lpstr>Cronograma</vt:lpstr>
      <vt:lpstr>Departamentos</vt:lpstr>
      <vt:lpstr>EjePNMC</vt:lpstr>
      <vt:lpstr>Enfoques</vt:lpstr>
      <vt:lpstr>EstadoComite</vt:lpstr>
      <vt:lpstr>EstadoPlan</vt:lpstr>
      <vt:lpstr>EstadoPropuesta</vt:lpstr>
      <vt:lpstr>FuenteInfo</vt:lpstr>
      <vt:lpstr>Meses</vt:lpstr>
      <vt:lpstr>Multi_ActorEspec</vt:lpstr>
      <vt:lpstr>Multi_DeptDet_1</vt:lpstr>
      <vt:lpstr>Multi_DeptDet_2</vt:lpstr>
      <vt:lpstr>Multi_DeptDet_3</vt:lpstr>
      <vt:lpstr>Multi_DeptInd</vt:lpstr>
      <vt:lpstr>Multi_Enfoques</vt:lpstr>
      <vt:lpstr>Multi_Fuente</vt:lpstr>
      <vt:lpstr>Multi_MesesDet</vt:lpstr>
      <vt:lpstr>Multi_NivelTerritorial</vt:lpstr>
      <vt:lpstr>NivelAMB</vt:lpstr>
      <vt:lpstr>NivelTerritorial</vt:lpstr>
      <vt:lpstr>RegionOCAD</vt:lpstr>
      <vt:lpstr>TipoAgente</vt:lpstr>
      <vt:lpstr>TiposAgente</vt:lpstr>
    </vt:vector>
  </TitlesOfParts>
  <Manager/>
  <Company>UNESCO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UNESCO;De Clercq, Thomas</dc:creator>
  <cp:keywords>IFCD</cp:keywords>
  <dc:description/>
  <cp:lastModifiedBy>Sergio Steban Parra Guarnizo</cp:lastModifiedBy>
  <cp:revision/>
  <dcterms:created xsi:type="dcterms:W3CDTF">2018-01-12T09:30:23Z</dcterms:created>
  <dcterms:modified xsi:type="dcterms:W3CDTF">2026-06-30T19:43:27Z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0x01010025454650031BB44CB799EE86CABBF36E</vt:lpwstr>
  </property>
  <property fmtid="{D5CDD505-2E9C-101B-9397-08002B2CF9AE}" pid="3" name="_dlc_DocIdItemGuid">
    <vt:lpwstr>c77c45dd-b802-43eb-857d-4e2e87c1e7bd</vt:lpwstr>
  </property>
  <property fmtid="{D5CDD505-2E9C-101B-9397-08002B2CF9AE}" pid="4" name="MediaServiceImageTags">
    <vt:lpwstr/>
  </property>
</Properties>
</file>